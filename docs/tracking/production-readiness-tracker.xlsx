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60e9e2b7864e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138e7404ade4071"/>
    <x:sheet xmlns:r="http://schemas.openxmlformats.org/officeDocument/2006/relationships" name="Open Items" sheetId="2" r:id="Rdf9c869f793d4779"/>
    <x:sheet xmlns:r="http://schemas.openxmlformats.org/officeDocument/2006/relationships" name="Requirements" sheetId="3" r:id="R86eebdef1147413a"/>
    <x:sheet xmlns:r="http://schemas.openxmlformats.org/officeDocument/2006/relationships" name="Test Inventory" sheetId="4" r:id="Rccd91ee9b7584a4e"/>
    <x:sheet xmlns:r="http://schemas.openxmlformats.org/officeDocument/2006/relationships" name="Risks" sheetId="5" r:id="Ra57de28dd9f64b7e"/>
    <x:sheet xmlns:r="http://schemas.openxmlformats.org/officeDocument/2006/relationships" name="Access" sheetId="6" r:id="R6fd89d25e95249dd"/>
    <x:sheet xmlns:r="http://schemas.openxmlformats.org/officeDocument/2006/relationships" name="Release Gates" sheetId="7" r:id="Re3c287d57bca4998"/>
    <x:sheet xmlns:r="http://schemas.openxmlformats.org/officeDocument/2006/relationships" name="Change Intake" sheetId="8" r:id="Ra322ff3ac46e4d40"/>
    <x:sheet xmlns:r="http://schemas.openxmlformats.org/officeDocument/2006/relationships" name="PR Handoffs" sheetId="9" r:id="Rd1e7359342734944"/>
    <x:sheet xmlns:r="http://schemas.openxmlformats.org/officeDocument/2006/relationships" name="Documents" sheetId="10" r:id="Red93a083fc594c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0b13485ea94b59" /><Relationship Type="http://schemas.openxmlformats.org/officeDocument/2006/relationships/theme" Target="/xl/theme/theme1.xml" Id="Rb913867172044993" /><Relationship Type="http://schemas.openxmlformats.org/officeDocument/2006/relationships/sharedStrings" Target="/xl/sharedStrings.xml" Id="R256da96e10bd4f41" /><Relationship Type="http://schemas.openxmlformats.org/officeDocument/2006/relationships/worksheet" Target="/xl/worksheets/sheet1.xml" Id="Rb138e7404ade4071" /><Relationship Type="http://schemas.openxmlformats.org/officeDocument/2006/relationships/worksheet" Target="/xl/worksheets/sheet2.xml" Id="Rdf9c869f793d4779" /><Relationship Type="http://schemas.openxmlformats.org/officeDocument/2006/relationships/worksheet" Target="/xl/worksheets/sheet3.xml" Id="R86eebdef1147413a" /><Relationship Type="http://schemas.openxmlformats.org/officeDocument/2006/relationships/worksheet" Target="/xl/worksheets/sheet4.xml" Id="Rccd91ee9b7584a4e" /><Relationship Type="http://schemas.openxmlformats.org/officeDocument/2006/relationships/worksheet" Target="/xl/worksheets/sheet5.xml" Id="Ra57de28dd9f64b7e" /><Relationship Type="http://schemas.openxmlformats.org/officeDocument/2006/relationships/worksheet" Target="/xl/worksheets/sheet6.xml" Id="R6fd89d25e95249dd" /><Relationship Type="http://schemas.openxmlformats.org/officeDocument/2006/relationships/worksheet" Target="/xl/worksheets/sheet7.xml" Id="Re3c287d57bca4998" /><Relationship Type="http://schemas.openxmlformats.org/officeDocument/2006/relationships/worksheet" Target="/xl/worksheets/sheet8.xml" Id="Ra322ff3ac46e4d40" /><Relationship Type="http://schemas.openxmlformats.org/officeDocument/2006/relationships/worksheet" Target="/xl/worksheets/sheet9.xml" Id="Rd1e7359342734944" /><Relationship Type="http://schemas.openxmlformats.org/officeDocument/2006/relationships/worksheet" Target="/xl/worksheets/sheet10.xml" Id="Red93a083fc594c5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04a46c233ee4d2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4a46c233ee4d2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37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5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6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4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7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6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17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d819766d0e345b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acd18af472f49f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057c3af770425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a0578ebc7c949a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dab71b2aa294a5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333055237e443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4b55a0fee6d439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136d24be55a4a9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666e618826346e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eaa3ae109347462f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2026-10-04. Counts link to the canonical CSV registers included in the private production repository.</x:v>
      </x:c>
    </x:row>
    <x:row r="5">
      <x:c r="A5" s="34" t="str">
        <x:v>Work items</x:v>
      </x:c>
      <x:c r="B5" s="35" t="str">
        <x:v>Count</x:v>
      </x:c>
      <x:c r="D5" s="34" t="str">
        <x:v>Readiness</x:v>
      </x:c>
      <x:c r="E5" s="35" t="str">
        <x:v>Count</x:v>
      </x:c>
      <x:c r="G5" s="40" t="str">
        <x:v>Status</x:v>
      </x:c>
      <x:c r="H5" s="40" t="str">
        <x:v>Count</x:v>
      </x:c>
    </x:row>
    <x:row r="6">
      <x:c r="A6" s="36" t="str">
        <x:v>Total</x:v>
      </x:c>
      <x:c r="B6" s="37" t="n">
        <x:f>COUNTA('Open Items'!$A$6:$A$37)</x:f>
        <x:v>32</x:v>
      </x:c>
      <x:c r="D6" s="36" t="str">
        <x:v>P0 items not done</x:v>
      </x:c>
      <x:c r="E6" s="37" t="n">
        <x:f>COUNTIFS('Open Items'!$E$6:$E$37,"P0",'Open Items'!$F$6:$F$37,"&lt;&gt;Done")</x:f>
        <x:v>22</x:v>
      </x:c>
      <x:c r="G6" s="40" t="str">
        <x:v>Open</x:v>
      </x:c>
      <x:c r="H6" s="40" t="n">
        <x:f>B7</x:f>
        <x:v>30</x:v>
      </x:c>
    </x:row>
    <x:row r="7">
      <x:c r="A7" s="36" t="str">
        <x:v>Open</x:v>
      </x:c>
      <x:c r="B7" s="37" t="n">
        <x:f>COUNTIF('Open Items'!$F$6:$F$37,"Open")</x:f>
        <x:v>30</x:v>
      </x:c>
      <x:c r="D7" s="36" t="str">
        <x:v>Open release gates</x:v>
      </x:c>
      <x:c r="E7" s="37" t="n">
        <x:f>COUNTIF('Release Gates'!$E$6:$E$17,"Open")</x:f>
        <x:v>11</x:v>
      </x:c>
      <x:c r="G7" s="40" t="str">
        <x:v>In Progress</x:v>
      </x:c>
      <x:c r="H7" s="40" t="n">
        <x:f>B8</x:f>
        <x:v>0</x:v>
      </x:c>
    </x:row>
    <x:row r="8">
      <x:c r="A8" s="36" t="str">
        <x:v>In Progress</x:v>
      </x:c>
      <x:c r="B8" s="37" t="n">
        <x:f>COUNTIF('Open Items'!$F$6:$F$37,"In Progress")</x:f>
        <x:v>0</x:v>
      </x:c>
      <x:c r="D8" s="36" t="str">
        <x:v>Open risks</x:v>
      </x:c>
      <x:c r="E8" s="37" t="n">
        <x:f>COUNTIF(Risks!$H$6:$H$16,"Open")</x:f>
        <x:v>10</x:v>
      </x:c>
      <x:c r="G8" s="40" t="str">
        <x:v>PR Open</x:v>
      </x:c>
      <x:c r="H8" s="40" t="n">
        <x:f>B9</x:f>
        <x:v>1</x:v>
      </x:c>
    </x:row>
    <x:row r="9">
      <x:c r="A9" s="36" t="str">
        <x:v>PR Open</x:v>
      </x:c>
      <x:c r="B9" s="37" t="n">
        <x:f>COUNTIF('Open Items'!$F$6:$F$37,"PR Open")</x:f>
        <x:v>1</x:v>
      </x:c>
      <x:c r="D9" s="36" t="str">
        <x:v>P0 open risks</x:v>
      </x:c>
      <x:c r="E9" s="37" t="n">
        <x:f>COUNTIFS(Risks!$E$6:$E$16,"P0",Risks!$H$6:$H$16,"Open")</x:f>
        <x:v>9</x:v>
      </x:c>
      <x:c r="G9" s="40" t="str">
        <x:v>Blocked</x:v>
      </x:c>
      <x:c r="H9" s="40" t="n">
        <x:f>B10</x:f>
        <x:v>1</x:v>
      </x:c>
    </x:row>
    <x:row r="10">
      <x:c r="A10" s="36" t="str">
        <x:v>Blocked</x:v>
      </x:c>
      <x:c r="B10" s="37" t="n">
        <x:f>COUNTIF('Open Items'!$F$6:$F$37,"Blocked")</x:f>
        <x:v>1</x:v>
      </x:c>
      <x:c r="D10" s="36" t="str">
        <x:v>Approved requirements</x:v>
      </x:c>
      <x:c r="E10" s="37" t="n">
        <x:f>COUNTIF(Requirements!$G$6:$G$23,"Approved")</x:f>
        <x:v>18</x:v>
      </x:c>
      <x:c r="G10" s="40" t="str">
        <x:v>Done</x:v>
      </x:c>
      <x:c r="H10" s="40" t="n">
        <x:f>B11</x:f>
        <x:v>0</x:v>
      </x:c>
    </x:row>
    <x:row r="11">
      <x:c r="A11" s="36" t="str">
        <x:v>Done</x:v>
      </x:c>
      <x:c r="B11" s="37" t="n">
        <x:f>COUNTIF('Open Items'!$F$6:$F$37,"Done")</x:f>
        <x:v>0</x:v>
      </x:c>
      <x:c r="G11" t="str"/>
      <x:c r="H11"/>
    </x:row>
    <x:row r="13">
      <x:c r="A13" s="39" t="str">
        <x:v>Launch gate</x:v>
      </x:c>
      <x:c r="B13" s="39" t="str">
        <x:v>Current state</x:v>
      </x:c>
      <x:c r="C13" s="39" t="str">
        <x:v>Owner</x:v>
      </x:c>
      <x:c r="D13" s="39" t="str">
        <x:v>Evidence needed</x:v>
      </x:c>
      <x:c r="E13" s="39" t="str">
        <x:v>Rule</x:v>
      </x:c>
    </x:row>
    <x:row r="14">
      <x:c r="A14" s="26" t="str">
        <x:v>Repository foundation</x:v>
      </x:c>
      <x:c r="B14" s="26" t="str">
        <x:v>In Progress</x:v>
      </x:c>
      <x:c r="C14" s="26" t="str">
        <x:v>Codex</x:v>
      </x:c>
      <x:c r="D14" s="26" t="str">
        <x:v>Initial commit, issues, protections and green governance CI</x:v>
      </x:c>
      <x:c r="E14" s="26" t="str">
        <x:v>Complete before implementation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3d819766d0e345bd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Enforce administrator MFA and production provider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Open</x:v>
      </x:c>
      <x:c r="G6" s="25" t="str">
        <x:v>Unassigned</x:v>
      </x:c>
      <x:c r="H6" s="25" t="str"/>
      <x:c r="I6" s="25" t="str">
        <x:v>Admin cannot use privileged access without MFA; unsafe production provider combinations fail startup</x:v>
      </x:c>
      <x:c r="J6" s="25" t="str">
        <x:v>Production plan Task 1A</x:v>
      </x:c>
      <x:c r="K6" s="25" t="str">
        <x:v>https://github.com/RohithTadiparti/world-of-weddingz-production/issues/6</x:v>
      </x:c>
      <x:c r="L6" s="25" t="str"/>
      <x:c r="M6" s="28" t="str">
        <x:v>2026-10-04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Open</x:v>
      </x:c>
      <x:c r="G7" s="26" t="str">
        <x:v>Unassigned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/>
      <x:c r="M7" s="29" t="str">
        <x:v>2026-10-04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Open</x:v>
      </x:c>
      <x:c r="G8" s="26" t="str">
        <x:v>Unassigned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/>
      <x:c r="M8" s="29" t="str">
        <x:v>2026-10-04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Open</x:v>
      </x:c>
      <x:c r="G9" s="26" t="str">
        <x:v>Unassigned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/>
      <x:c r="M9" s="29" t="str">
        <x:v>2026-10-04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Open</x:v>
      </x:c>
      <x:c r="G10" s="26" t="str">
        <x:v>Unassigned</x:v>
      </x:c>
      <x:c r="H10" s="26" t="str"/>
      <x:c r="I10" s="26" t="str">
        <x:v>No unaccepted critical/high production advisory; CI blocks regression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/>
      <x:c r="M10" s="29" t="str">
        <x:v>2026-10-04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Open</x:v>
      </x:c>
      <x:c r="G11" s="26" t="str">
        <x:v>Unassigned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/>
      <x:c r="M11" s="29" t="str">
        <x:v>2026-10-04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Open</x:v>
      </x:c>
      <x:c r="G13" s="26" t="str">
        <x:v>Unassigned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/>
      <x:c r="M13" s="29" t="str">
        <x:v>2026-10-04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Open</x:v>
      </x:c>
      <x:c r="G14" s="26" t="str">
        <x:v>Unassigned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/>
      <x:c r="M14" s="29" t="str">
        <x:v>2026-10-04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MFA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Five-minute single-use scoped token protects migration start</x:v>
      </x:c>
      <x:c r="J20" s="26" t="str">
        <x:v>Production plan Task 9</x:v>
      </x:c>
      <x:c r="K20" s="26" t="str">
        <x:v>https://github.com/RohithTadiparti/world-of-weddingz-production/issues/20</x:v>
      </x:c>
      <x:c r="L20" s="26" t="str"/>
      <x:c r="M20" s="29" t="str">
        <x:v>2026-10-04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Open</x:v>
      </x:c>
      <x:c r="G32" s="26" t="str">
        <x:v>Unassigned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/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Blocked</x:v>
      </x:c>
      <x:c r="G36" s="26" t="str">
        <x:v>Product owner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/>
      <x:c r="M36" s="29" t="str">
        <x:v>2026-10-04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27" t="str">
        <x:v>PR Open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>
        <x:v>https://github.com/RohithTadiparti/world-of-weddingz-production/pull/49</x:v>
      </x:c>
      <x:c r="M37" s="30" t="str">
        <x:v>2026-10-04</x:v>
      </x:c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acd18af472f49fc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c057c3af7704254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Production readiness audit</x:v>
      </x:c>
      <x:c r="E13" s="26" t="str">
        <x:v>Open</x:v>
      </x:c>
      <x:c r="F13" s="26" t="str">
        <x:v>Focused abuse tests plus security workflows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7" t="str">
        <x:v>QA-RES-001</x:v>
      </x:c>
      <x:c r="B15" s="27" t="str">
        <x:v>Resilience</x:v>
      </x:c>
      <x:c r="C15" s="27" t="str">
        <x:v>Backup restore and failed cutover</x:v>
      </x:c>
      <x:c r="D15" s="27" t="str">
        <x:v>None</x:v>
      </x:c>
      <x:c r="E15" s="27" t="str">
        <x:v>Not run</x:v>
      </x:c>
      <x:c r="F15" s="27" t="str">
        <x:v>Successful restore and two rollback rehearsals</x:v>
      </x:c>
      <x:c r="G15" s="27" t="str">
        <x:v>QA-002 QA-003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ca0578ebc7c949af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7" t="str">
        <x:v>RISK-011</x:v>
      </x:c>
      <x:c r="B16" s="27" t="str">
        <x:v>Private repository cannot enforce native branch protection or secret scanning on the current GitHub plan</x:v>
      </x:c>
      <x:c r="C16" s="27" t="str">
        <x:v>High</x:v>
      </x:c>
      <x:c r="D16" s="27" t="str">
        <x:v>Certain</x:v>
      </x:c>
      <x:c r="E16" s="27" t="str">
        <x:v>P0</x:v>
      </x:c>
      <x:c r="F16" s="27" t="str">
        <x:v>Use PR discipline and CI Gitleaks as compensating controls; upgrade to GitHub Pro or an eligible organization before production</x:v>
      </x:c>
      <x:c r="G16" s="27" t="str">
        <x:v>Product owner</x:v>
      </x:c>
      <x:c r="H16" s="27" t="str">
        <x:v>Open</x:v>
      </x:c>
      <x:c r="I16" s="27" t="str">
        <x:v>GitHub API returned HTTP 403 and 422 on 2026-10-04</x:v>
      </x:c>
    </x:row>
  </x:sheetData>
  <x:mergeCells>
    <x:mergeCell ref="A3:I3"/>
  </x:mergeCells>
  <x:conditionalFormatting sqref="E6:E16">
    <x:cfRule type="containsText" dxfId="12" priority="1" operator="containsText" text="P0"/>
  </x:conditionalFormatting>
  <x:conditionalFormatting sqref="H6:H16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dab71b2aa294a52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Private repository created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Mailbox or SMTP provider and recipient list</x:v>
      </x:c>
      <x:c r="D12" s="26" t="str">
        <x:v>To be confirmed</x:v>
      </x:c>
      <x:c r="E12" s="26" t="str">
        <x:v>SMTP/API identity</x:v>
      </x:c>
      <x:c r="F12" s="26" t="str">
        <x:v>GitHub or Railway secrets</x:v>
      </x:c>
      <x:c r="G12" s="26" t="str">
        <x:v>Mock</x:v>
      </x:c>
      <x:c r="H12" s="29" t="str"/>
      <x:c r="I12" s="26" t="str">
        <x:v>Log provider until approved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7" t="str">
        <x:v>ACC-009</x:v>
      </x:c>
      <x:c r="B14" s="27" t="str">
        <x:v>SMS WhatsApp push identity</x:v>
      </x:c>
      <x:c r="C14" s="27" t="str">
        <x:v>Provider sandbox then production accounts</x:v>
      </x:c>
      <x:c r="D14" s="27" t="str">
        <x:v>To be confirmed</x:v>
      </x:c>
      <x:c r="E14" s="27" t="str">
        <x:v>Provider credentials</x:v>
      </x:c>
      <x:c r="F14" s="27" t="str">
        <x:v>Protected secret store</x:v>
      </x:c>
      <x:c r="G14" s="27" t="str">
        <x:v>Deferred</x:v>
      </x:c>
      <x:c r="H14" s="30" t="str"/>
      <x:c r="I14" s="27" t="str">
        <x:v>Separate onboarding gates</x:v>
      </x:c>
    </x:row>
  </x:sheetData>
  <x:mergeCells>
    <x:mergeCell ref="A3:I3"/>
  </x:mergeCells>
  <x:conditionalFormatting sqref="G6:G14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4d333055237e443b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4b55a0fee6d4390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7" t="str">
        <x:v>CHG-002</x:v>
      </x:c>
      <x:c r="B7" s="27" t="str">
        <x:v>RohithTadiparti/WOW-MD</x:v>
      </x:c>
      <x:c r="C7" s="27" t="str">
        <x:v>UNCOMMITTED</x:v>
      </x:c>
      <x:c r="D7" s="27" t="str">
        <x:v>.gitignore</x:v>
      </x:c>
      <x:c r="E7" s="27" t="str">
        <x:v>Repository hygiene</x:v>
      </x:c>
      <x:c r="F7" s="27" t="str">
        <x:v>Review required</x:v>
      </x:c>
      <x:c r="G7" s="27" t="str">
        <x:v>SYNC-001</x:v>
      </x:c>
      <x:c r="H7" s="27" t="str"/>
      <x:c r="I7" s="27" t="str"/>
      <x:c r="J7" s="30" t="str">
        <x:v>2026-10-04</x:v>
      </x:c>
      <x:c r="K7" s="27" t="str">
        <x:v>Three ignored paths require review before adoption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f136d24be55a4a92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32" t="str">
        <x:v>GOV-002</x:v>
      </x:c>
      <x:c r="B6" s="32" t="str">
        <x:v>https://github.com/RohithTadiparti/world-of-weddingz-production/pull/49</x:v>
      </x:c>
      <x:c r="C6" s="32" t="str">
        <x:v>codex/gov-002-production-program</x:v>
      </x:c>
      <x:c r="D6" s="32" t="str">
        <x:v>1e9f458</x:v>
      </x:c>
      <x:c r="E6" s="32" t="str">
        <x:v>fb8afe5</x:v>
      </x:c>
      <x:c r="F6" s="32" t="str">
        <x:v>07218b4ab02a8702a4d8d9fdab7dc26e579ab7b4</x:v>
      </x:c>
      <x:c r="G6" s="32" t="str">
        <x:v>Register tests 2/2; credential scan clear; workbook formulas clear and 10 sheets visually reviewed</x:v>
      </x:c>
      <x:c r="H6" s="32" t="str">
        <x:v>Documentation and governance only; no Railway deployment</x:v>
      </x:c>
      <x:c r="I6" s="32" t="str">
        <x:v>Revert PR 49; bootstrap remains clean source snapshot</x:v>
      </x:c>
      <x:c r="J6" s="32" t="str">
        <x:v>GitHub plan blocks protected private branches and native secret scanning; tracked by GOV-001</x:v>
      </x:c>
      <x:c r="K6" s="32" t="str">
        <x:v>PR Open</x:v>
      </x:c>
      <x:c r="L6" s="33" t="str">
        <x:v>2026-10-04</x:v>
      </x:c>
    </x:row>
  </x:sheetData>
  <x:mergeCells>
    <x:mergeCell ref="A3:L3"/>
  </x:mergeCells>
  <x:conditionalFormatting sqref="K6:K6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666e618826346eb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Monthly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7" t="str">
        <x:v>DOC-012</x:v>
      </x:c>
      <x:c r="B17" s="27" t="str">
        <x:v>Production tracking workbook</x:v>
      </x:c>
      <x:c r="C17" s="27" t="str">
        <x:v>docs/tracking/production-readiness-tracker.xlsx</x:v>
      </x:c>
      <x:c r="D17" s="27" t="str">
        <x:v>Program management</x:v>
      </x:c>
      <x:c r="E17" s="27" t="str">
        <x:v>Generated</x:v>
      </x:c>
      <x:c r="F17" s="27" t="str">
        <x:v>Each change</x:v>
      </x:c>
      <x:c r="G17" s="27" t="str">
        <x:v>2026-10-04</x:v>
      </x:c>
      <x:c r="H17" s="27" t="str">
        <x:v>GOV-002</x:v>
      </x:c>
    </x:row>
  </x:sheetData>
  <x:mergeCells>
    <x:mergeCell ref="A3:H3"/>
  </x:mergeCells>
  <x:conditionalFormatting sqref="E6:E17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eaa3ae109347462f"/>
  </x:tableParts>
</x:worksheet>
</file>