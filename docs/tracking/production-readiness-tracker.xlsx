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daf0f8aee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24c0d9277894751"/>
    <x:sheet xmlns:r="http://schemas.openxmlformats.org/officeDocument/2006/relationships" name="Open Items" sheetId="2" r:id="R4ed111d90ff444af"/>
    <x:sheet xmlns:r="http://schemas.openxmlformats.org/officeDocument/2006/relationships" name="Requirements" sheetId="3" r:id="R1037c58bf23c4279"/>
    <x:sheet xmlns:r="http://schemas.openxmlformats.org/officeDocument/2006/relationships" name="Test Inventory" sheetId="4" r:id="Re4331be0f9ce41cf"/>
    <x:sheet xmlns:r="http://schemas.openxmlformats.org/officeDocument/2006/relationships" name="Risks" sheetId="5" r:id="R0ab518b8ce2e48ce"/>
    <x:sheet xmlns:r="http://schemas.openxmlformats.org/officeDocument/2006/relationships" name="Access" sheetId="6" r:id="Rcb1c709781ca49f1"/>
    <x:sheet xmlns:r="http://schemas.openxmlformats.org/officeDocument/2006/relationships" name="Release Gates" sheetId="7" r:id="Rb0447ed7181f4aea"/>
    <x:sheet xmlns:r="http://schemas.openxmlformats.org/officeDocument/2006/relationships" name="Change Intake" sheetId="8" r:id="R4b58f3a837524d8a"/>
    <x:sheet xmlns:r="http://schemas.openxmlformats.org/officeDocument/2006/relationships" name="PR Handoffs" sheetId="9" r:id="R3a7711564037407c"/>
    <x:sheet xmlns:r="http://schemas.openxmlformats.org/officeDocument/2006/relationships" name="Documents" sheetId="10" r:id="Rf8f2c920f611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6"/>
      <x:color rgb="FF6E1026"/>
      <x:name val="Arial"/>
    </x:font>
    <x:font>
      <x:i/>
      <x:sz val="10"/>
      <x:color rgb="FF6B5960"/>
      <x:name val="Arial"/>
    </x:font>
    <x:font>
      <x:b/>
      <x:sz val="14"/>
      <x:color rgb="FF6E1026"/>
      <x:name val="Arial"/>
    </x:font>
    <x:font>
      <x:b/>
      <x:sz val="10"/>
      <x:color rgb="FFFFFFFF"/>
      <x:name val="Arial"/>
    </x:font>
    <x:font>
      <x:sz val="10"/>
      <x:color rgb="FF241017"/>
      <x:name val="Arial"/>
    </x:font>
    <x:font>
      <x:sz val="11"/>
      <x:color rgb="FF241017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E1026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CDD0"/>
      </x:bottom>
    </x:border>
    <x:border>
      <x:top style="thin">
        <x:color rgb="FFD9CDD0"/>
      </x:top>
      <x:bottom style="thin">
        <x:color rgb="FFD9CDD0"/>
      </x:bottom>
    </x:border>
    <x:border>
      <x:top style="thin">
        <x:color rgb="FFD9CDD0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</x:cellXfs>
  <x:cellStyles count="1">
    <x:cellStyle name="Normal" xfId="0"/>
  </x:cellStyles>
  <x:dxfs count="40"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7A4B00"/>
      </x:font>
      <x:fill>
        <x:patternFill patternType="solid">
          <x:bgColor rgb="FFFFF4CC"/>
        </x:patternFill>
      </x:fill>
    </x:dxf>
    <x:dxf>
      <x:font>
        <x:color rgb="FF1D4ED8"/>
      </x:font>
      <x:fill>
        <x:patternFill patternType="solid">
          <x:bgColor rgb="FFEAF1FB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7A4B00"/>
      </x:font>
      <x:fill>
        <x:patternFill patternType="solid">
          <x:bgColor rgb="FFFFF4CC"/>
        </x:patternFill>
      </x:fill>
    </x:dxf>
    <x:dxf>
      <x:font>
        <x:color rgb="FF1D4ED8"/>
      </x:font>
      <x:fill>
        <x:patternFill patternType="solid">
          <x:bgColor rgb="FFEAF1FB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7A4B00"/>
      </x:font>
      <x:fill>
        <x:patternFill patternType="solid">
          <x:bgColor rgb="FFFFF4CC"/>
        </x:patternFill>
      </x:fill>
    </x:dxf>
    <x:dxf>
      <x:font>
        <x:color rgb="FF1D4ED8"/>
      </x:font>
      <x:fill>
        <x:patternFill patternType="solid">
          <x:bgColor rgb="FFEAF1FB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7A4B00"/>
      </x:font>
      <x:fill>
        <x:patternFill patternType="solid">
          <x:bgColor rgb="FFFFF4CC"/>
        </x:patternFill>
      </x:fill>
    </x:dxf>
    <x:dxf>
      <x:font>
        <x:color rgb="FF1D4ED8"/>
      </x:font>
      <x:fill>
        <x:patternFill patternType="solid">
          <x:bgColor rgb="FFEAF1FB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7A4B00"/>
      </x:font>
      <x:fill>
        <x:patternFill patternType="solid">
          <x:bgColor rgb="FFFFF4CC"/>
        </x:patternFill>
      </x:fill>
    </x:dxf>
    <x:dxf>
      <x:font>
        <x:color rgb="FF1D4ED8"/>
      </x:font>
      <x:fill>
        <x:patternFill patternType="solid">
          <x:bgColor rgb="FFEAF1FB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7A4B00"/>
      </x:font>
      <x:fill>
        <x:patternFill patternType="solid">
          <x:bgColor rgb="FFFFF4CC"/>
        </x:patternFill>
      </x:fill>
    </x:dxf>
    <x:dxf>
      <x:font>
        <x:color rgb="FF1D4ED8"/>
      </x:font>
      <x:fill>
        <x:patternFill patternType="solid">
          <x:bgColor rgb="FFEAF1FB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7A4B00"/>
      </x:font>
      <x:fill>
        <x:patternFill patternType="solid">
          <x:bgColor rgb="FFFFF4CC"/>
        </x:patternFill>
      </x:fill>
    </x:dxf>
    <x:dxf>
      <x:font>
        <x:color rgb="FF1D4ED8"/>
      </x:font>
      <x:fill>
        <x:patternFill patternType="solid">
          <x:bgColor rgb="FFEAF1FB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color rgb="FF18733A"/>
      </x:font>
      <x:fill>
        <x:patternFill patternType="solid">
          <x:bgColor rgb="FFE8F5EC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1D4ED8"/>
      </x:font>
      <x:fill>
        <x:patternFill patternType="solid">
          <x:bgColor rgb="FFEAF1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8b3cf72f14ec8" /><Relationship Type="http://schemas.openxmlformats.org/officeDocument/2006/relationships/theme" Target="/xl/theme/theme1.xml" Id="Rde7eec3c7c7e46b2" /><Relationship Type="http://schemas.openxmlformats.org/officeDocument/2006/relationships/sharedStrings" Target="/xl/sharedStrings.xml" Id="R66097140dd374bf7" /><Relationship Type="http://schemas.openxmlformats.org/officeDocument/2006/relationships/worksheet" Target="/xl/worksheets/sheet1.xml" Id="Re24c0d9277894751" /><Relationship Type="http://schemas.openxmlformats.org/officeDocument/2006/relationships/worksheet" Target="/xl/worksheets/sheet2.xml" Id="R4ed111d90ff444af" /><Relationship Type="http://schemas.openxmlformats.org/officeDocument/2006/relationships/worksheet" Target="/xl/worksheets/sheet3.xml" Id="R1037c58bf23c4279" /><Relationship Type="http://schemas.openxmlformats.org/officeDocument/2006/relationships/worksheet" Target="/xl/worksheets/sheet4.xml" Id="Re4331be0f9ce41cf" /><Relationship Type="http://schemas.openxmlformats.org/officeDocument/2006/relationships/worksheet" Target="/xl/worksheets/sheet5.xml" Id="R0ab518b8ce2e48ce" /><Relationship Type="http://schemas.openxmlformats.org/officeDocument/2006/relationships/worksheet" Target="/xl/worksheets/sheet6.xml" Id="Rcb1c709781ca49f1" /><Relationship Type="http://schemas.openxmlformats.org/officeDocument/2006/relationships/worksheet" Target="/xl/worksheets/sheet7.xml" Id="Rb0447ed7181f4aea" /><Relationship Type="http://schemas.openxmlformats.org/officeDocument/2006/relationships/worksheet" Target="/xl/worksheets/sheet8.xml" Id="R4b58f3a837524d8a" /><Relationship Type="http://schemas.openxmlformats.org/officeDocument/2006/relationships/worksheet" Target="/xl/worksheets/sheet9.xml" Id="R3a7711564037407c" /><Relationship Type="http://schemas.openxmlformats.org/officeDocument/2006/relationships/worksheet" Target="/xl/worksheets/sheet10.xml" Id="Rf8f2c920f6114f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8c4a0e349f48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Work items by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'Dashboard'!$G$6:$G$10</c:f>
              <c:strCache>
                <c:ptCount val="0"/>
              </c:strCache>
            </c:strRef>
          </c:cat>
          <c:val>
            <c:numRef>
              <c:f>'Dashboard'!$H$6:$H$10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8c4a0e349f48d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enItemsTable" displayName="OpenItemsTable" ref="A5:M38" headerRowCount="1" totalsRowCount="0" totalsRowShown="0">
  <x:tableColumns count="13">
    <x:tableColumn id="1" name="ID"/>
    <x:tableColumn id="2" name="Title"/>
    <x:tableColumn id="3" name="Phase"/>
    <x:tableColumn id="4" name="Type"/>
    <x:tableColumn id="5" name="Priority"/>
    <x:tableColumn id="6" name="Status"/>
    <x:tableColumn id="7" name="Owner"/>
    <x:tableColumn id="8" name="DependsOn"/>
    <x:tableColumn id="9" name="Acceptance"/>
    <x:tableColumn id="10" name="SourceRef"/>
    <x:tableColumn id="11" name="GitHubIssue"/>
    <x:tableColumn id="12" name="PR"/>
    <x:tableColumn id="13" name="LastUpd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Table" displayName="RequirementsTable" ref="A5:G27" headerRowCount="1" totalsRowCount="0" totalsRowShown="0">
  <x:tableColumns count="7">
    <x:tableColumn id="1" name="ID"/>
    <x:tableColumn id="2" name="Requirement"/>
    <x:tableColumn id="3" name="Source"/>
    <x:tableColumn id="4" name="Priority"/>
    <x:tableColumn id="5" name="Verification"/>
    <x:tableColumn id="6" name="WorkItems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InventoryTable" displayName="TestInventoryTable" ref="A5:G16" headerRowCount="1" totalsRowCount="0" totalsRowShown="0">
  <x:tableColumns count="7">
    <x:tableColumn id="1" name="ID"/>
    <x:tableColumn id="2" name="Layer"/>
    <x:tableColumn id="3" name="Scope"/>
    <x:tableColumn id="4" name="CurrentEvidence"/>
    <x:tableColumn id="5" name="CurrentResult"/>
    <x:tableColumn id="6" name="RequiredNextEvidence"/>
    <x:tableColumn id="7" name="WorkIte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ksTable" displayName="RisksTable" ref="A5:I19" headerRowCount="1" totalsRowCount="0" totalsRowShown="0">
  <x:tableColumns count="9">
    <x:tableColumn id="1" name="ID"/>
    <x:tableColumn id="2" name="Risk"/>
    <x:tableColumn id="3" name="Impact"/>
    <x:tableColumn id="4" name="Likelihood"/>
    <x:tableColumn id="5" name="Priority"/>
    <x:tableColumn id="6" name="Mitigation"/>
    <x:tableColumn id="7" name="Owner"/>
    <x:tableColumn id="8" name="Status"/>
    <x:tableColumn id="9" name="Ev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ssTable" displayName="AccessTable" ref="A5:I15" headerRowCount="1" totalsRowCount="0" totalsRowShown="0">
  <x:tableColumns count="9">
    <x:tableColumn id="1" name="ID"/>
    <x:tableColumn id="2" name="System"/>
    <x:tableColumn id="3" name="AccessNeeded"/>
    <x:tableColumn id="4" name="HumanOwner"/>
    <x:tableColumn id="5" name="MachineIdentity"/>
    <x:tableColumn id="6" name="SecretLocation"/>
    <x:tableColumn id="7" name="Status"/>
    <x:tableColumn id="8" name="VerifiedDate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leaseGatesTable" displayName="ReleaseGatesTable" ref="A5:H17" headerRowCount="1" totalsRowCount="0" totalsRowShown="0">
  <x:tableColumns count="8">
    <x:tableColumn id="1" name="ID"/>
    <x:tableColumn id="2" name="Gate"/>
    <x:tableColumn id="3" name="Environment"/>
    <x:tableColumn id="4" name="RequiredEvidence"/>
    <x:tableColumn id="5" name="Status"/>
    <x:tableColumn id="6" name="Owner"/>
    <x:tableColumn id="7" name="Evidence"/>
    <x:tableColumn id="8" name="Approved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angeIntakeTable" displayName="ChangeIntakeTable" ref="A5:K8" headerRowCount="1" totalsRowCount="0" totalsRowShown="0">
  <x:tableColumns count="11">
    <x:tableColumn id="1" name="ID"/>
    <x:tableColumn id="2" name="SourceRepository"/>
    <x:tableColumn id="3" name="SourceCommit"/>
    <x:tableColumn id="4" name="SourcePath"/>
    <x:tableColumn id="5" name="Classification"/>
    <x:tableColumn id="6" name="Decision"/>
    <x:tableColumn id="7" name="ProductionItem"/>
    <x:tableColumn id="8" name="ProductionPR"/>
    <x:tableColumn id="9" name="ReviewedBy"/>
    <x:tableColumn id="10" name="ReviewedDate"/>
    <x:tableColumn id="11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HandoffsTable" displayName="PrHandoffsTable" ref="A5:L11" headerRowCount="1" totalsRowCount="0" totalsRowShown="0">
  <x:tableColumns count="12">
    <x:tableColumn id="1" name="WorkItem"/>
    <x:tableColumn id="2" name="PR"/>
    <x:tableColumn id="3" name="Branch"/>
    <x:tableColumn id="4" name="BaseCommit"/>
    <x:tableColumn id="5" name="HeadCommit"/>
    <x:tableColumn id="6" name="SourceCommits"/>
    <x:tableColumn id="7" name="Tests"/>
    <x:tableColumn id="8" name="Deployment"/>
    <x:tableColumn id="9" name="Rollback"/>
    <x:tableColumn id="10" name="ResidualRisks"/>
    <x:tableColumn id="11" name="Status"/>
    <x:tableColumn id="12" name="Updat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ocumentsTable" displayName="DocumentsTable" ref="A5:H21" headerRowCount="1" totalsRowCount="0" totalsRowShown="0">
  <x:tableColumns count="8">
    <x:tableColumn id="1" name="ID"/>
    <x:tableColumn id="2" name="Document"/>
    <x:tableColumn id="3" name="Path"/>
    <x:tableColumn id="4" name="Owner"/>
    <x:tableColumn id="5" name="Status"/>
    <x:tableColumn id="6" name="ReviewCadence"/>
    <x:tableColumn id="7" name="LastReviewed"/>
    <x:tableColumn id="8" name="RelatedItem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5d86da6a3f4f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e92e74fbff40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c033dc32ff4a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610213677546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455da0425444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59000a1a6746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3f92729a9849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265706f5e64c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fc57c8e979418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3d59974171549a0" /></Relationships>
</file>

<file path=xl/worksheets/sheet1.xml><?xml version="1.0" encoding="utf-8"?>
<x:worksheet xmlns:x="http://schemas.openxmlformats.org/spreadsheetml/2006/main">
  <x:sheetPr>
    <x:tabColor rgb="FF6E1026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54" hidden="0" customWidth="1"/>
    <x:col min="5" max="5" width="30" hidden="0" customWidth="1"/>
  </x:cols>
  <x:sheetData>
    <x:row r="2">
      <x:c r="A2" s="1" t="str">
        <x:v>World of Weddingz production readiness</x:v>
      </x:c>
    </x:row>
    <x:row r="3">
      <x:c r="A3" s="2" t="str">
        <x:v>As of 2026-10-05. Counts link to the canonical CSV registers included in the production repository.</x:v>
      </x:c>
    </x:row>
    <x:row r="5">
      <x:c r="A5" s="31" t="str">
        <x:v>Work items</x:v>
      </x:c>
      <x:c r="B5" s="32" t="str">
        <x:v>Count</x:v>
      </x:c>
      <x:c r="D5" s="31" t="str">
        <x:v>Readiness</x:v>
      </x:c>
      <x:c r="E5" s="32" t="str">
        <x:v>Count</x:v>
      </x:c>
      <x:c r="G5" s="39" t="str">
        <x:v>Status</x:v>
      </x:c>
      <x:c r="H5" s="39" t="str">
        <x:v>Count</x:v>
      </x:c>
    </x:row>
    <x:row r="6">
      <x:c r="A6" s="33" t="str">
        <x:v>Total</x:v>
      </x:c>
      <x:c r="B6" s="34" t="n">
        <x:f>COUNTA('Open Items'!$A$6:$A$38)</x:f>
        <x:v>33</x:v>
      </x:c>
      <x:c r="D6" s="33" t="str">
        <x:v>P0 items not done</x:v>
      </x:c>
      <x:c r="E6" s="34" t="n">
        <x:f>COUNTIFS('Open Items'!$E$6:$E$38,"P0",'Open Items'!$F$6:$F$38,"&lt;&gt;Done")</x:f>
        <x:v>21</x:v>
      </x:c>
      <x:c r="G6" s="39" t="str">
        <x:v>Open</x:v>
      </x:c>
      <x:c r="H6" s="39" t="n">
        <x:f>B7</x:f>
        <x:v>27</x:v>
      </x:c>
    </x:row>
    <x:row r="7">
      <x:c r="A7" s="33" t="str">
        <x:v>Open</x:v>
      </x:c>
      <x:c r="B7" s="34" t="n">
        <x:f>COUNTIF('Open Items'!$F$6:$F$38,"Open")</x:f>
        <x:v>27</x:v>
      </x:c>
      <x:c r="D7" s="33" t="str">
        <x:v>Open release gates</x:v>
      </x:c>
      <x:c r="E7" s="34" t="n">
        <x:f>COUNTIF('Release Gates'!$E$6:$E$17,"Open")</x:f>
        <x:v>11</x:v>
      </x:c>
      <x:c r="G7" s="39" t="str">
        <x:v>In Progress</x:v>
      </x:c>
      <x:c r="H7" s="39" t="n">
        <x:f>B8</x:f>
        <x:v>0</x:v>
      </x:c>
    </x:row>
    <x:row r="8">
      <x:c r="A8" s="33" t="str">
        <x:v>In Progress</x:v>
      </x:c>
      <x:c r="B8" s="34" t="n">
        <x:f>COUNTIF('Open Items'!$F$6:$F$38,"In Progress")</x:f>
        <x:v>0</x:v>
      </x:c>
      <x:c r="D8" s="33" t="str">
        <x:v>Open risks</x:v>
      </x:c>
      <x:c r="E8" s="34" t="n">
        <x:f>COUNTIF(Risks!$H$6:$H$19,"Open")</x:f>
        <x:v>10</x:v>
      </x:c>
      <x:c r="G8" s="39" t="str">
        <x:v>PR Open</x:v>
      </x:c>
      <x:c r="H8" s="39" t="n">
        <x:f>B9</x:f>
        <x:v>3</x:v>
      </x:c>
    </x:row>
    <x:row r="9">
      <x:c r="A9" s="33" t="str">
        <x:v>PR Open</x:v>
      </x:c>
      <x:c r="B9" s="34" t="n">
        <x:f>COUNTIF('Open Items'!$F$6:$F$38,"PR Open")</x:f>
        <x:v>3</x:v>
      </x:c>
      <x:c r="D9" s="33" t="str">
        <x:v>P0 open risks</x:v>
      </x:c>
      <x:c r="E9" s="34" t="n">
        <x:f>COUNTIFS(Risks!$E$6:$E$19,"P0",Risks!$H$6:$H$19,"Open")</x:f>
        <x:v>9</x:v>
      </x:c>
      <x:c r="G9" s="39" t="str">
        <x:v>Blocked</x:v>
      </x:c>
      <x:c r="H9" s="39" t="n">
        <x:f>B10</x:f>
        <x:v>1</x:v>
      </x:c>
    </x:row>
    <x:row r="10">
      <x:c r="A10" s="33" t="str">
        <x:v>Blocked</x:v>
      </x:c>
      <x:c r="B10" s="34" t="n">
        <x:f>COUNTIF('Open Items'!$F$6:$F$38,"Blocked")</x:f>
        <x:v>1</x:v>
      </x:c>
      <x:c r="D10" s="33" t="str">
        <x:v>Approved requirements</x:v>
      </x:c>
      <x:c r="E10" s="34" t="n">
        <x:f>COUNTIF(Requirements!$G$6:$G$27,"Approved")</x:f>
        <x:v>22</x:v>
      </x:c>
      <x:c r="G10" s="39" t="str">
        <x:v>Done</x:v>
      </x:c>
      <x:c r="H10" s="39" t="n">
        <x:f>B11</x:f>
        <x:v>2</x:v>
      </x:c>
    </x:row>
    <x:row r="11">
      <x:c r="A11" s="33" t="str">
        <x:v>Done</x:v>
      </x:c>
      <x:c r="B11" s="34" t="n">
        <x:f>COUNTIF('Open Items'!$F$6:$F$38,"Done")</x:f>
        <x:v>2</x:v>
      </x:c>
      <x:c r="G11" t="str"/>
      <x:c r="H11"/>
    </x:row>
    <x:row r="13">
      <x:c r="A13" s="38" t="str">
        <x:v>Launch gate</x:v>
      </x:c>
      <x:c r="B13" s="38" t="str">
        <x:v>Current state</x:v>
      </x:c>
      <x:c r="C13" s="38" t="str">
        <x:v>Owner</x:v>
      </x:c>
      <x:c r="D13" s="38" t="str">
        <x:v>Evidence needed</x:v>
      </x:c>
      <x:c r="E13" s="38" t="str">
        <x:v>Rule</x:v>
      </x:c>
    </x:row>
    <x:row r="14">
      <x:c r="A14" s="26" t="str">
        <x:v>Repository foundation</x:v>
      </x:c>
      <x:c r="B14" s="26" t="str">
        <x:v>Complete</x:v>
      </x:c>
      <x:c r="C14" s="26" t="str">
        <x:v>Codex</x:v>
      </x:c>
      <x:c r="D14" s="26" t="str">
        <x:v>Public visibility, protected main and native security controls verified</x:v>
      </x:c>
      <x:c r="E14" s="26" t="str">
        <x:v>Reassess only if repository visibility changes</x:v>
      </x:c>
    </x:row>
    <x:row r="15">
      <x:c r="A15" s="26" t="str">
        <x:v>Railway candidate</x:v>
      </x:c>
      <x:c r="B15" s="26" t="str">
        <x:v>Not Started</x:v>
      </x:c>
      <x:c r="C15" s="26" t="str">
        <x:v>Unassigned</x:v>
      </x:c>
      <x:c r="D15" s="26" t="str">
        <x:v>Security, S3, observability, capacity and all-role tests</x:v>
      </x:c>
      <x:c r="E15" s="26" t="str">
        <x:v>No production domain yet</x:v>
      </x:c>
    </x:row>
    <x:row r="16">
      <x:c r="A16" s="26" t="str">
        <x:v>Railway public beta</x:v>
      </x:c>
      <x:c r="B16" s="26" t="str">
        <x:v>Blocked</x:v>
      </x:c>
      <x:c r="C16" s="26" t="str">
        <x:v>Product owner</x:v>
      </x:c>
      <x:c r="D16" s="26" t="str">
        <x:v>GATE-002 through GATE-007 approved</x:v>
      </x:c>
      <x:c r="E16" s="26" t="str">
        <x:v>Attach domain only here</x:v>
      </x:c>
    </x:row>
    <x:row r="17">
      <x:c r="A17" s="27" t="str">
        <x:v>AWS migration</x:v>
      </x:c>
      <x:c r="B17" s="27" t="str">
        <x:v>Blocked</x:v>
      </x:c>
      <x:c r="C17" s="27" t="str">
        <x:v>Product owner</x:v>
      </x:c>
      <x:c r="D17" s="27" t="str">
        <x:v>Successful and rollback rehearsals plus budget/MFA/backup gates</x:v>
      </x:c>
      <x:c r="E17" s="27" t="str">
        <x:v>Enable real executor last</x:v>
      </x:c>
    </x:row>
  </x:sheetData>
  <x:mergeCells>
    <x:mergeCell ref="A3:H3"/>
  </x:mergeCells>
  <x:conditionalFormatting sqref="B14:B17">
    <x:cfRule type="containsText" dxfId="38" priority="1" operator="containsText" text="Blocked"/>
    <x:cfRule type="containsText" dxfId="39" priority="2" operator="containsText" text="In Progress"/>
  </x:conditionalFormatting>
  <x:pageMargins left="0.7" right="0.7" top="0.75" bottom="0.75" header="0.3" footer="0.3"/>
  <x:drawing xmlns:r="http://schemas.openxmlformats.org/officeDocument/2006/relationships" r:id="R475d86da6a3f4fce"/>
</x:worksheet>
</file>

<file path=xl/worksheets/sheet2.xml><?xml version="1.0" encoding="utf-8"?>
<x:worksheet xmlns:x="http://schemas.openxmlformats.org/spreadsheetml/2006/main">
  <x:sheetPr>
    <x:tabColor rgb="FF6E102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55" hidden="0" customWidth="1"/>
    <x:col min="10" max="10" width="38" hidden="0" customWidth="1"/>
    <x:col min="11" max="11" width="28" hidden="0" customWidth="1"/>
    <x:col min="12" max="12" width="28" hidden="0" customWidth="1"/>
    <x:col min="13" max="13" width="14" hidden="0" customWidth="1"/>
  </x:cols>
  <x:sheetData>
    <x:row r="2">
      <x:c r="A2" s="3" t="str">
        <x:v>Production open items</x:v>
      </x:c>
    </x:row>
    <x:row r="3">
      <x:c r="A3" s="2" t="str">
        <x:v>Generated from docs/tracking/registers. Update the CSV register, then regenerate this workbook.</x:v>
      </x:c>
    </x:row>
    <x:row r="5" ht="34" customHeight="1">
      <x:c r="A5" s="15" t="str">
        <x:v>ID</x:v>
      </x:c>
      <x:c r="B5" s="16" t="str">
        <x:v>Title</x:v>
      </x:c>
      <x:c r="C5" s="16" t="str">
        <x:v>Phase</x:v>
      </x:c>
      <x:c r="D5" s="16" t="str">
        <x:v>Type</x:v>
      </x:c>
      <x:c r="E5" s="16" t="str">
        <x:v>Priority</x:v>
      </x:c>
      <x:c r="F5" s="16" t="str">
        <x:v>Status</x:v>
      </x:c>
      <x:c r="G5" s="16" t="str">
        <x:v>Owner</x:v>
      </x:c>
      <x:c r="H5" s="16" t="str">
        <x:v>DependsOn</x:v>
      </x:c>
      <x:c r="I5" s="16" t="str">
        <x:v>Acceptance</x:v>
      </x:c>
      <x:c r="J5" s="16" t="str">
        <x:v>SourceRef</x:v>
      </x:c>
      <x:c r="K5" s="16" t="str">
        <x:v>GitHubIssue</x:v>
      </x:c>
      <x:c r="L5" s="16" t="str">
        <x:v>PR</x:v>
      </x:c>
      <x:c r="M5" s="17" t="str">
        <x:v>LastUpdated</x:v>
      </x:c>
    </x:row>
    <x:row r="6" ht="30" customHeight="1">
      <x:c r="A6" s="25" t="str">
        <x:v>SEC-001</x:v>
      </x:c>
      <x:c r="B6" s="25" t="str">
        <x:v>Align authentication with Zoho SSO and multi-identifier login policy</x:v>
      </x:c>
      <x:c r="C6" s="25" t="str">
        <x:v>Public beta safety</x:v>
      </x:c>
      <x:c r="D6" s="25" t="str">
        <x:v>Security</x:v>
      </x:c>
      <x:c r="E6" s="25" t="str">
        <x:v>P0</x:v>
      </x:c>
      <x:c r="F6" s="25" t="str">
        <x:v>PR Open</x:v>
      </x:c>
      <x:c r="G6" s="25" t="str">
        <x:v>Codex</x:v>
      </x:c>
      <x:c r="H6" s="25" t="str"/>
      <x:c r="I6" s="25" t="str">
        <x:v>Administrators use Zoho SSO; existing users may use Zoho SSO or username/email/mobile plus password; OTP is verification/recovery only; unsafe public provider combinations fail startup</x:v>
      </x:c>
      <x:c r="J6" s="25" t="str">
        <x:v>Production plan Task 1A and user authentication decision</x:v>
      </x:c>
      <x:c r="K6" s="25" t="str">
        <x:v>https://github.com/RohithTadiparti/world-of-weddingz-production/issues/6</x:v>
      </x:c>
      <x:c r="L6" s="25" t="str">
        <x:v>https://github.com/RohithTadiparti/world-of-weddingz-production/pull/58</x:v>
      </x:c>
      <x:c r="M6" s="28" t="str">
        <x:v>2026-10-05</x:v>
      </x:c>
    </x:row>
    <x:row r="7" ht="30" customHeight="1">
      <x:c r="A7" s="26" t="str">
        <x:v>SEC-002</x:v>
      </x:c>
      <x:c r="B7" s="26" t="str">
        <x:v>Authorize and constrain WebSocket traffic</x:v>
      </x:c>
      <x:c r="C7" s="26" t="str">
        <x:v>Public beta safety</x:v>
      </x:c>
      <x:c r="D7" s="26" t="str">
        <x:v>Security</x:v>
      </x:c>
      <x:c r="E7" s="26" t="str">
        <x:v>P0</x:v>
      </x:c>
      <x:c r="F7" s="26" t="str">
        <x:v>Open</x:v>
      </x:c>
      <x:c r="G7" s="26" t="str">
        <x:v>Unassigned</x:v>
      </x:c>
      <x:c r="H7" s="26" t="str">
        <x:v>SEC-001</x:v>
      </x:c>
      <x:c r="I7" s="26" t="str">
        <x:v>Origins and tokens are verified; calls and presence are relationship-scoped</x:v>
      </x:c>
      <x:c r="J7" s="26" t="str">
        <x:v>Production plan Task 1B</x:v>
      </x:c>
      <x:c r="K7" s="26" t="str">
        <x:v>https://github.com/RohithTadiparti/world-of-weddingz-production/issues/7</x:v>
      </x:c>
      <x:c r="L7" s="26" t="str"/>
      <x:c r="M7" s="29" t="str">
        <x:v>2026-10-04</x:v>
      </x:c>
    </x:row>
    <x:row r="8" ht="30" customHeight="1">
      <x:c r="A8" s="26" t="str">
        <x:v>OPS-001</x:v>
      </x:c>
      <x:c r="B8" s="26" t="str">
        <x:v>Serialize replicated outbox and scheduled jobs</x:v>
      </x:c>
      <x:c r="C8" s="26" t="str">
        <x:v>Public beta safety</x:v>
      </x:c>
      <x:c r="D8" s="26" t="str">
        <x:v>Reliability</x:v>
      </x:c>
      <x:c r="E8" s="26" t="str">
        <x:v>P0</x:v>
      </x:c>
      <x:c r="F8" s="26" t="str">
        <x:v>Open</x:v>
      </x:c>
      <x:c r="G8" s="26" t="str">
        <x:v>Unassigned</x:v>
      </x:c>
      <x:c r="H8" s="26" t="str"/>
      <x:c r="I8" s="26" t="str">
        <x:v>Two workers cannot execute the same notification/payment job</x:v>
      </x:c>
      <x:c r="J8" s="26" t="str">
        <x:v>Production plan Task 1C</x:v>
      </x:c>
      <x:c r="K8" s="26" t="str">
        <x:v>https://github.com/RohithTadiparti/world-of-weddingz-production/issues/8</x:v>
      </x:c>
      <x:c r="L8" s="26" t="str"/>
      <x:c r="M8" s="29" t="str">
        <x:v>2026-10-04</x:v>
      </x:c>
    </x:row>
    <x:row r="9" ht="30" customHeight="1">
      <x:c r="A9" s="26" t="str">
        <x:v>SEC-003</x:v>
      </x:c>
      <x:c r="B9" s="26" t="str">
        <x:v>Harden HTTP startup and migration integrity</x:v>
      </x:c>
      <x:c r="C9" s="26" t="str">
        <x:v>Public beta safety</x:v>
      </x:c>
      <x:c r="D9" s="26" t="str">
        <x:v>Security</x:v>
      </x:c>
      <x:c r="E9" s="26" t="str">
        <x:v>P0</x:v>
      </x:c>
      <x:c r="F9" s="26" t="str">
        <x:v>Open</x:v>
      </x:c>
      <x:c r="G9" s="26" t="str">
        <x:v>Unassigned</x:v>
      </x:c>
      <x:c r="H9" s="26" t="str"/>
      <x:c r="I9" s="26" t="str">
        <x:v>Security headers and private Swagger are enforced; migration sequence is unique and upgrade-safe</x:v>
      </x:c>
      <x:c r="J9" s="26" t="str">
        <x:v>Production plan Task 1D</x:v>
      </x:c>
      <x:c r="K9" s="26" t="str">
        <x:v>https://github.com/RohithTadiparti/world-of-weddingz-production/issues/9</x:v>
      </x:c>
      <x:c r="L9" s="26" t="str"/>
      <x:c r="M9" s="29" t="str">
        <x:v>2026-10-04</x:v>
      </x:c>
    </x:row>
    <x:row r="10" ht="30" customHeight="1">
      <x:c r="A10" s="26" t="str">
        <x:v>DEP-001</x:v>
      </x:c>
      <x:c r="B10" s="26" t="str">
        <x:v>Remediate production dependency vulnerabilities</x:v>
      </x:c>
      <x:c r="C10" s="26" t="str">
        <x:v>Public beta safety</x:v>
      </x:c>
      <x:c r="D10" s="26" t="str">
        <x:v>Security</x:v>
      </x:c>
      <x:c r="E10" s="26" t="str">
        <x:v>P0</x:v>
      </x:c>
      <x:c r="F10" s="26" t="str">
        <x:v>PR Open</x:v>
      </x:c>
      <x:c r="G10" s="26" t="str">
        <x:v>Codex</x:v>
      </x:c>
      <x:c r="H10" s="26" t="str"/>
      <x:c r="I10" s="26" t="str">
        <x:v>No unaccepted critical/high runtime advisory; CI blocks regressions; explicitly documented no-fix build-tool exceptions remain narrow and reviewable</x:v>
      </x:c>
      <x:c r="J10" s="26" t="str">
        <x:v>Production plan Task 1E</x:v>
      </x:c>
      <x:c r="K10" s="26" t="str">
        <x:v>https://github.com/RohithTadiparti/world-of-weddingz-production/issues/10</x:v>
      </x:c>
      <x:c r="L10" s="26" t="str">
        <x:v>https://github.com/RohithTadiparti/world-of-weddingz-production/pull/59</x:v>
      </x:c>
      <x:c r="M10" s="29" t="str">
        <x:v>2026-10-05</x:v>
      </x:c>
    </x:row>
    <x:row r="11" ht="30" customHeight="1">
      <x:c r="A11" s="26" t="str">
        <x:v>OBS-001</x:v>
      </x:c>
      <x:c r="B11" s="26" t="str">
        <x:v>Implement backend structured observability</x:v>
      </x:c>
      <x:c r="C11" s="26" t="str">
        <x:v>Observability</x:v>
      </x:c>
      <x:c r="D11" s="26" t="str">
        <x:v>Platform</x:v>
      </x:c>
      <x:c r="E11" s="26" t="str">
        <x:v>P0</x:v>
      </x:c>
      <x:c r="F11" s="26" t="str">
        <x:v>Open</x:v>
      </x:c>
      <x:c r="G11" s="26" t="str">
        <x:v>Unassigned</x:v>
      </x:c>
      <x:c r="H11" s="26" t="str">
        <x:v>SEC-003</x:v>
      </x:c>
      <x:c r="I11" s="26" t="str">
        <x:v>Correlated redacted API and worker logs pass tests</x:v>
      </x:c>
      <x:c r="J11" s="26" t="str">
        <x:v>backend-observability-foundation plan</x:v>
      </x:c>
      <x:c r="K11" s="26" t="str">
        <x:v>https://github.com/RohithTadiparti/world-of-weddingz-production/issues/11</x:v>
      </x:c>
      <x:c r="L11" s="26" t="str"/>
      <x:c r="M11" s="29" t="str">
        <x:v>2026-10-04</x:v>
      </x:c>
    </x:row>
    <x:row r="12" ht="30" customHeight="1">
      <x:c r="A12" s="26" t="str">
        <x:v>OBS-002</x:v>
      </x:c>
      <x:c r="B12" s="26" t="str">
        <x:v>Implement client error intake</x:v>
      </x:c>
      <x:c r="C12" s="26" t="str">
        <x:v>Observability</x:v>
      </x:c>
      <x:c r="D12" s="26" t="str">
        <x:v>Platform</x:v>
      </x:c>
      <x:c r="E12" s="26" t="str">
        <x:v>P1</x:v>
      </x:c>
      <x:c r="F12" s="26" t="str">
        <x:v>Open</x:v>
      </x:c>
      <x:c r="G12" s="26" t="str">
        <x:v>Unassigned</x:v>
      </x:c>
      <x:c r="H12" s="26" t="str">
        <x:v>OBS-001</x:v>
      </x:c>
      <x:c r="I12" s="26" t="str">
        <x:v>Sanitized browser/mobile failures correlate with backend requests</x:v>
      </x:c>
      <x:c r="J12" s="26" t="str">
        <x:v>client-error-observability plan</x:v>
      </x:c>
      <x:c r="K12" s="26" t="str">
        <x:v>https://github.com/RohithTadiparti/world-of-weddingz-production/issues/12</x:v>
      </x:c>
      <x:c r="L12" s="26" t="str"/>
      <x:c r="M12" s="29" t="str">
        <x:v>2026-10-04</x:v>
      </x:c>
    </x:row>
    <x:row r="13" ht="30" customHeight="1">
      <x:c r="A13" s="26" t="str">
        <x:v>OBS-003</x:v>
      </x:c>
      <x:c r="B13" s="26" t="str">
        <x:v>Deploy local Loki Grafana and 30-day log archive</x:v>
      </x:c>
      <x:c r="C13" s="26" t="str">
        <x:v>Observability</x:v>
      </x:c>
      <x:c r="D13" s="26" t="str">
        <x:v>Platform</x:v>
      </x:c>
      <x:c r="E13" s="26" t="str">
        <x:v>P0</x:v>
      </x:c>
      <x:c r="F13" s="26" t="str">
        <x:v>Open</x:v>
      </x:c>
      <x:c r="G13" s="26" t="str">
        <x:v>Unassigned</x:v>
      </x:c>
      <x:c r="H13" s="26" t="str">
        <x:v>OBS-001</x:v>
      </x:c>
      <x:c r="I13" s="26" t="str">
        <x:v>Local JSONL and Loki retain searchable logs for 30 days</x:v>
      </x:c>
      <x:c r="J13" s="26" t="str">
        <x:v>local-log-platform plan</x:v>
      </x:c>
      <x:c r="K13" s="26" t="str">
        <x:v>https://github.com/RohithTadiparti/world-of-weddingz-production/issues/13</x:v>
      </x:c>
      <x:c r="L13" s="26" t="str"/>
      <x:c r="M13" s="29" t="str">
        <x:v>2026-10-04</x:v>
      </x:c>
    </x:row>
    <x:row r="14" ht="30" customHeight="1">
      <x:c r="A14" s="26" t="str">
        <x:v>CFG-001</x:v>
      </x:c>
      <x:c r="B14" s="26" t="str">
        <x:v>Create canonical non-secret platform configuration</x:v>
      </x:c>
      <x:c r="C14" s="26" t="str">
        <x:v>Railway foundation</x:v>
      </x:c>
      <x:c r="D14" s="26" t="str">
        <x:v>Configuration</x:v>
      </x:c>
      <x:c r="E14" s="26" t="str">
        <x:v>P0</x:v>
      </x:c>
      <x:c r="F14" s="26" t="str">
        <x:v>Open</x:v>
      </x:c>
      <x:c r="G14" s="26" t="str">
        <x:v>Unassigned</x:v>
      </x:c>
      <x:c r="H14" s="26" t="str">
        <x:v>SEC-001</x:v>
      </x:c>
      <x:c r="I14" s="26" t="str">
        <x:v>One typed YAML file owns defaults; secrets remain outside Git; unknown keys fail</x:v>
      </x:c>
      <x:c r="J14" s="26" t="str">
        <x:v>Production plan Task 3</x:v>
      </x:c>
      <x:c r="K14" s="26" t="str">
        <x:v>https://github.com/RohithTadiparti/world-of-weddingz-production/issues/14</x:v>
      </x:c>
      <x:c r="L14" s="26" t="str"/>
      <x:c r="M14" s="29" t="str">
        <x:v>2026-10-04</x:v>
      </x:c>
    </x:row>
    <x:row r="15" ht="30" customHeight="1">
      <x:c r="A15" s="26" t="str">
        <x:v>RLY-001</x:v>
      </x:c>
      <x:c r="B15" s="26" t="str">
        <x:v>Define four-service Railway Hobby deployment</x:v>
      </x:c>
      <x:c r="C15" s="26" t="str">
        <x:v>Railway foundation</x:v>
      </x:c>
      <x:c r="D15" s="26" t="str">
        <x:v>Infrastructure</x:v>
      </x:c>
      <x:c r="E15" s="26" t="str">
        <x:v>P0</x:v>
      </x:c>
      <x:c r="F15" s="26" t="str">
        <x:v>Open</x:v>
      </x:c>
      <x:c r="G15" s="26" t="str">
        <x:v>Unassigned</x:v>
      </x:c>
      <x:c r="H15" s="26" t="str">
        <x:v>CFG-001</x:v>
      </x:c>
      <x:c r="I15" s="26" t="str">
        <x:v>Frontend API PostgreSQL and Redis pass cross-origin auth and WebSocket smoke tests</x:v>
      </x:c>
      <x:c r="J15" s="26" t="str">
        <x:v>Production plan Task 4</x:v>
      </x:c>
      <x:c r="K15" s="26" t="str">
        <x:v>https://github.com/RohithTadiparti/world-of-weddingz-production/issues/15</x:v>
      </x:c>
      <x:c r="L15" s="26" t="str"/>
      <x:c r="M15" s="29" t="str">
        <x:v>2026-10-04</x:v>
      </x:c>
    </x:row>
    <x:row r="16" ht="30" customHeight="1">
      <x:c r="A16" s="26" t="str">
        <x:v>S3-001</x:v>
      </x:c>
      <x:c r="B16" s="26" t="str">
        <x:v>Provision private S3 media bootstrap</x:v>
      </x:c>
      <x:c r="C16" s="26" t="str">
        <x:v>Railway foundation</x:v>
      </x:c>
      <x:c r="D16" s="26" t="str">
        <x:v>Infrastructure</x:v>
      </x:c>
      <x:c r="E16" s="26" t="str">
        <x:v>P0</x:v>
      </x:c>
      <x:c r="F16" s="26" t="str">
        <x:v>Open</x:v>
      </x:c>
      <x:c r="G16" s="26" t="str">
        <x:v>Unassigned</x:v>
      </x:c>
      <x:c r="H16" s="26" t="str">
        <x:v>CFG-001</x:v>
      </x:c>
      <x:c r="I16" s="26" t="str">
        <x:v>Real uploads use private encrypted versioned S3 and survive redeploys</x:v>
      </x:c>
      <x:c r="J16" s="26" t="str">
        <x:v>Production plan Task 5</x:v>
      </x:c>
      <x:c r="K16" s="26" t="str">
        <x:v>https://github.com/RohithTadiparti/world-of-weddingz-production/issues/16</x:v>
      </x:c>
      <x:c r="L16" s="26" t="str"/>
      <x:c r="M16" s="29" t="str">
        <x:v>2026-10-04</x:v>
      </x:c>
    </x:row>
    <x:row r="17" ht="30" customHeight="1">
      <x:c r="A17" s="26" t="str">
        <x:v>OPS-002</x:v>
      </x:c>
      <x:c r="B17" s="26" t="str">
        <x:v>Collect capacity and cost snapshots</x:v>
      </x:c>
      <x:c r="C17" s="26" t="str">
        <x:v>Operations</x:v>
      </x:c>
      <x:c r="D17" s="26" t="str">
        <x:v>Backend</x:v>
      </x:c>
      <x:c r="E17" s="26" t="str">
        <x:v>P1</x:v>
      </x:c>
      <x:c r="F17" s="26" t="str">
        <x:v>Open</x:v>
      </x:c>
      <x:c r="G17" s="26" t="str">
        <x:v>Unassigned</x:v>
      </x:c>
      <x:c r="H17" s="26" t="str">
        <x:v>CFG-001,OBS-001</x:v>
      </x:c>
      <x:c r="I17" s="26" t="str">
        <x:v>Exact account DAU request latency error resource database and cost measurements persist</x:v>
      </x:c>
      <x:c r="J17" s="26" t="str">
        <x:v>Production plan Task 6</x:v>
      </x:c>
      <x:c r="K17" s="26" t="str">
        <x:v>https://github.com/RohithTadiparti/world-of-weddingz-production/issues/17</x:v>
      </x:c>
      <x:c r="L17" s="26" t="str"/>
      <x:c r="M17" s="29" t="str">
        <x:v>2026-10-04</x:v>
      </x:c>
    </x:row>
    <x:row r="18" ht="30" customHeight="1">
      <x:c r="A18" s="26" t="str">
        <x:v>OPS-003</x:v>
      </x:c>
      <x:c r="B18" s="26" t="str">
        <x:v>Deliver deduplicated operational alerts</x:v>
      </x:c>
      <x:c r="C18" s="26" t="str">
        <x:v>Operations</x:v>
      </x:c>
      <x:c r="D18" s="26" t="str">
        <x:v>Backend</x:v>
      </x:c>
      <x:c r="E18" s="26" t="str">
        <x:v>P1</x:v>
      </x:c>
      <x:c r="F18" s="26" t="str">
        <x:v>Open</x:v>
      </x:c>
      <x:c r="G18" s="26" t="str">
        <x:v>Unassigned</x:v>
      </x:c>
      <x:c r="H18" s="26" t="str">
        <x:v>OPS-002</x:v>
      </x:c>
      <x:c r="I18" s="26" t="str">
        <x:v>Warnings and critical alerts reach portal email audit and logs without flooding</x:v>
      </x:c>
      <x:c r="J18" s="26" t="str">
        <x:v>Production plan Task 7</x:v>
      </x:c>
      <x:c r="K18" s="26" t="str">
        <x:v>https://github.com/RohithTadiparti/world-of-weddingz-production/issues/18</x:v>
      </x:c>
      <x:c r="L18" s="26" t="str"/>
      <x:c r="M18" s="29" t="str">
        <x:v>2026-10-04</x:v>
      </x:c>
    </x:row>
    <x:row r="19" ht="30" customHeight="1">
      <x:c r="A19" s="26" t="str">
        <x:v>UI-001</x:v>
      </x:c>
      <x:c r="B19" s="26" t="str">
        <x:v>Build administrator Infrastructure dashboard</x:v>
      </x:c>
      <x:c r="C19" s="26" t="str">
        <x:v>Operations</x:v>
      </x:c>
      <x:c r="D19" s="26" t="str">
        <x:v>Frontend</x:v>
      </x:c>
      <x:c r="E19" s="26" t="str">
        <x:v>P1</x:v>
      </x:c>
      <x:c r="F19" s="26" t="str">
        <x:v>Open</x:v>
      </x:c>
      <x:c r="G19" s="26" t="str">
        <x:v>Unassigned</x:v>
      </x:c>
      <x:c r="H19" s="26" t="str">
        <x:v>OPS-003</x:v>
      </x:c>
      <x:c r="I19" s="26" t="str">
        <x:v>Admin sees exact values thresholds evidence alert status and migration readiness</x:v>
      </x:c>
      <x:c r="J19" s="26" t="str">
        <x:v>Production plan Task 8</x:v>
      </x:c>
      <x:c r="K19" s="26" t="str">
        <x:v>https://github.com/RohithTadiparti/world-of-weddingz-production/issues/19</x:v>
      </x:c>
      <x:c r="L19" s="26" t="str"/>
      <x:c r="M19" s="29" t="str">
        <x:v>2026-10-04</x:v>
      </x:c>
    </x:row>
    <x:row r="20" ht="30" customHeight="1">
      <x:c r="A20" s="26" t="str">
        <x:v>AUTH-001</x:v>
      </x:c>
      <x:c r="B20" s="26" t="str">
        <x:v>Add scoped administrator fresh-authentication step-up</x:v>
      </x:c>
      <x:c r="C20" s="26" t="str">
        <x:v>Migration control</x:v>
      </x:c>
      <x:c r="D20" s="26" t="str">
        <x:v>Security</x:v>
      </x:c>
      <x:c r="E20" s="26" t="str">
        <x:v>P0</x:v>
      </x:c>
      <x:c r="F20" s="26" t="str">
        <x:v>Open</x:v>
      </x:c>
      <x:c r="G20" s="26" t="str">
        <x:v>Unassigned</x:v>
      </x:c>
      <x:c r="H20" s="26" t="str">
        <x:v>SEC-001,CFG-001</x:v>
      </x:c>
      <x:c r="I20" s="26" t="str">
        <x:v>Fresh Zoho reauthentication issues a five-minute single-use action-scoped token for migration start; application TOTP is a documented fallback only</x:v>
      </x:c>
      <x:c r="J20" s="26" t="str">
        <x:v>Production plan Task 9 and user authentication decision</x:v>
      </x:c>
      <x:c r="K20" s="26" t="str">
        <x:v>https://github.com/RohithTadiparti/world-of-weddingz-production/issues/20</x:v>
      </x:c>
      <x:c r="L20" s="26" t="str"/>
      <x:c r="M20" s="29" t="str">
        <x:v>2026-10-05</x:v>
      </x:c>
    </x:row>
    <x:row r="21" ht="30" customHeight="1">
      <x:c r="A21" s="26" t="str">
        <x:v>MIG-001</x:v>
      </x:c>
      <x:c r="B21" s="26" t="str">
        <x:v>Implement migration state machine and mock executor</x:v>
      </x:c>
      <x:c r="C21" s="26" t="str">
        <x:v>Migration control</x:v>
      </x:c>
      <x:c r="D21" s="26" t="str">
        <x:v>Backend</x:v>
      </x:c>
      <x:c r="E21" s="26" t="str">
        <x:v>P0</x:v>
      </x:c>
      <x:c r="F21" s="26" t="str">
        <x:v>Open</x:v>
      </x:c>
      <x:c r="G21" s="26" t="str">
        <x:v>Unassigned</x:v>
      </x:c>
      <x:c r="H21" s="26" t="str">
        <x:v>AUTH-001,OPS-002</x:v>
      </x:c>
      <x:c r="I21" s="26" t="str">
        <x:v>Mock runs every state/failure without external side effects; only one run is active</x:v>
      </x:c>
      <x:c r="J21" s="26" t="str">
        <x:v>Production plan Task 10</x:v>
      </x:c>
      <x:c r="K21" s="26" t="str">
        <x:v>https://github.com/RohithTadiparti/world-of-weddingz-production/issues/21</x:v>
      </x:c>
      <x:c r="L21" s="26" t="str"/>
      <x:c r="M21" s="29" t="str">
        <x:v>2026-10-04</x:v>
      </x:c>
    </x:row>
    <x:row r="22" ht="30" customHeight="1">
      <x:c r="A22" s="26" t="str">
        <x:v>MIG-002</x:v>
      </x:c>
      <x:c r="B22" s="26" t="str">
        <x:v>Build admin migration timeline and confirmation</x:v>
      </x:c>
      <x:c r="C22" s="26" t="str">
        <x:v>Migration control</x:v>
      </x:c>
      <x:c r="D22" s="26" t="str">
        <x:v>Frontend</x:v>
      </x:c>
      <x:c r="E22" s="26" t="str">
        <x:v>P1</x:v>
      </x:c>
      <x:c r="F22" s="26" t="str">
        <x:v>Open</x:v>
      </x:c>
      <x:c r="G22" s="26" t="str">
        <x:v>Unassigned</x:v>
      </x:c>
      <x:c r="H22" s="26" t="str">
        <x:v>MIG-001</x:v>
      </x:c>
      <x:c r="I22" s="26" t="str">
        <x:v>One protected action displays cost backup read-only window rollback boundary and live state</x:v>
      </x:c>
      <x:c r="J22" s="26" t="str">
        <x:v>Production plan Task 11</x:v>
      </x:c>
      <x:c r="K22" s="26" t="str">
        <x:v>https://github.com/RohithTadiparti/world-of-weddingz-production/issues/22</x:v>
      </x:c>
      <x:c r="L22" s="26" t="str"/>
      <x:c r="M22" s="29" t="str">
        <x:v>2026-10-04</x:v>
      </x:c>
    </x:row>
    <x:row r="23" ht="30" customHeight="1">
      <x:c r="A23" s="26" t="str">
        <x:v>AWS-001</x:v>
      </x:c>
      <x:c r="B23" s="26" t="str">
        <x:v>Complete AWS Option B Terraform</x:v>
      </x:c>
      <x:c r="C23" s="26" t="str">
        <x:v>AWS readiness</x:v>
      </x:c>
      <x:c r="D23" s="26" t="str">
        <x:v>Infrastructure</x:v>
      </x:c>
      <x:c r="E23" s="26" t="str">
        <x:v>P0</x:v>
      </x:c>
      <x:c r="F23" s="26" t="str">
        <x:v>Open</x:v>
      </x:c>
      <x:c r="G23" s="26" t="str">
        <x:v>Unassigned</x:v>
      </x:c>
      <x:c r="H23" s="26" t="str">
        <x:v>CFG-001,S3-001</x:v>
      </x:c>
      <x:c r="I23" s="26" t="str">
        <x:v>Disposable three-AZ EKS Aurora Redis edge security and monitoring environment passes policy tests</x:v>
      </x:c>
      <x:c r="J23" s="26" t="str">
        <x:v>Production plan Task 12</x:v>
      </x:c>
      <x:c r="K23" s="26" t="str">
        <x:v>https://github.com/RohithTadiparti/world-of-weddingz-production/issues/23</x:v>
      </x:c>
      <x:c r="L23" s="26" t="str"/>
      <x:c r="M23" s="29" t="str">
        <x:v>2026-10-04</x:v>
      </x:c>
    </x:row>
    <x:row r="24" ht="30" customHeight="1">
      <x:c r="A24" s="26" t="str">
        <x:v>MIG-003</x:v>
      </x:c>
      <x:c r="B24" s="26" t="str">
        <x:v>Implement GitHub OIDC migration dispatcher</x:v>
      </x:c>
      <x:c r="C24" s="26" t="str">
        <x:v>AWS readiness</x:v>
      </x:c>
      <x:c r="D24" s="26" t="str">
        <x:v>Infrastructure</x:v>
      </x:c>
      <x:c r="E24" s="26" t="str">
        <x:v>P0</x:v>
      </x:c>
      <x:c r="F24" s="26" t="str">
        <x:v>Open</x:v>
      </x:c>
      <x:c r="G24" s="26" t="str">
        <x:v>Unassigned</x:v>
      </x:c>
      <x:c r="H24" s="26" t="str">
        <x:v>MIG-001,AWS-001</x:v>
      </x:c>
      <x:c r="I24" s="26" t="str">
        <x:v>Signed replay-protected callbacks drive the real executor without static AWS keys</x:v>
      </x:c>
      <x:c r="J24" s="26" t="str">
        <x:v>Production plan Task 13</x:v>
      </x:c>
      <x:c r="K24" s="26" t="str">
        <x:v>https://github.com/RohithTadiparti/world-of-weddingz-production/issues/24</x:v>
      </x:c>
      <x:c r="L24" s="26" t="str"/>
      <x:c r="M24" s="29" t="str">
        <x:v>2026-10-04</x:v>
      </x:c>
    </x:row>
    <x:row r="25" ht="30" customHeight="1">
      <x:c r="A25" s="26" t="str">
        <x:v>MIG-004</x:v>
      </x:c>
      <x:c r="B25" s="26" t="str">
        <x:v>Implement verified PostgreSQL synchronization and cutover</x:v>
      </x:c>
      <x:c r="C25" s="26" t="str">
        <x:v>AWS readiness</x:v>
      </x:c>
      <x:c r="D25" s="26" t="str">
        <x:v>Data</x:v>
      </x:c>
      <x:c r="E25" s="26" t="str">
        <x:v>P0</x:v>
      </x:c>
      <x:c r="F25" s="26" t="str">
        <x:v>Open</x:v>
      </x:c>
      <x:c r="G25" s="26" t="str">
        <x:v>Unassigned</x:v>
      </x:c>
      <x:c r="H25" s="26" t="str">
        <x:v>MIG-003</x:v>
      </x:c>
      <x:c r="I25" s="26" t="str">
        <x:v>Counts sequences and critical checksums match; 15-minute failure restores Railway</x:v>
      </x:c>
      <x:c r="J25" s="26" t="str">
        <x:v>Production plan Task 14</x:v>
      </x:c>
      <x:c r="K25" s="26" t="str">
        <x:v>https://github.com/RohithTadiparti/world-of-weddingz-production/issues/25</x:v>
      </x:c>
      <x:c r="L25" s="26" t="str"/>
      <x:c r="M25" s="29" t="str">
        <x:v>2026-10-04</x:v>
      </x:c>
    </x:row>
    <x:row r="26" ht="30" customHeight="1">
      <x:c r="A26" s="26" t="str">
        <x:v>QA-001</x:v>
      </x:c>
      <x:c r="B26" s="26" t="str">
        <x:v>Measure Railway capacity with representative load</x:v>
      </x:c>
      <x:c r="C26" s="26" t="str">
        <x:v>Certification</x:v>
      </x:c>
      <x:c r="D26" s="26" t="str">
        <x:v>Quality</x:v>
      </x:c>
      <x:c r="E26" s="26" t="str">
        <x:v>P0</x:v>
      </x:c>
      <x:c r="F26" s="26" t="str">
        <x:v>Open</x:v>
      </x:c>
      <x:c r="G26" s="26" t="str">
        <x:v>Unassigned</x:v>
      </x:c>
      <x:c r="H26" s="26" t="str">
        <x:v>RLY-001</x:v>
      </x:c>
      <x:c r="I26" s="26" t="str">
        <x:v>Published operating thresholds retain at least 30 percent headroom</x:v>
      </x:c>
      <x:c r="J26" s="26" t="str">
        <x:v>Production plan Task 15</x:v>
      </x:c>
      <x:c r="K26" s="26" t="str">
        <x:v>https://github.com/RohithTadiparti/world-of-weddingz-production/issues/26</x:v>
      </x:c>
      <x:c r="L26" s="26" t="str"/>
      <x:c r="M26" s="29" t="str">
        <x:v>2026-10-04</x:v>
      </x:c>
    </x:row>
    <x:row r="27" ht="30" customHeight="1">
      <x:c r="A27" s="26" t="str">
        <x:v>QA-002</x:v>
      </x:c>
      <x:c r="B27" s="26" t="str">
        <x:v>Rehearse successful AWS migration</x:v>
      </x:c>
      <x:c r="C27" s="26" t="str">
        <x:v>Certification</x:v>
      </x:c>
      <x:c r="D27" s="26" t="str">
        <x:v>Quality</x:v>
      </x:c>
      <x:c r="E27" s="26" t="str">
        <x:v>P0</x:v>
      </x:c>
      <x:c r="F27" s="26" t="str">
        <x:v>Open</x:v>
      </x:c>
      <x:c r="G27" s="26" t="str">
        <x:v>Unassigned</x:v>
      </x:c>
      <x:c r="H27" s="26" t="str">
        <x:v>MIG-004,QA-001</x:v>
      </x:c>
      <x:c r="I27" s="26" t="str">
        <x:v>Sanitized production-sized dataset migrates and all critical journeys pass</x:v>
      </x:c>
      <x:c r="J27" s="26" t="str">
        <x:v>Production plan Task 16</x:v>
      </x:c>
      <x:c r="K27" s="26" t="str">
        <x:v>https://github.com/RohithTadiparti/world-of-weddingz-production/issues/27</x:v>
      </x:c>
      <x:c r="L27" s="26" t="str"/>
      <x:c r="M27" s="29" t="str">
        <x:v>2026-10-04</x:v>
      </x:c>
    </x:row>
    <x:row r="28" ht="30" customHeight="1">
      <x:c r="A28" s="26" t="str">
        <x:v>QA-003</x:v>
      </x:c>
      <x:c r="B28" s="26" t="str">
        <x:v>Rehearse automatic rollback</x:v>
      </x:c>
      <x:c r="C28" s="26" t="str">
        <x:v>Certification</x:v>
      </x:c>
      <x:c r="D28" s="26" t="str">
        <x:v>Quality</x:v>
      </x:c>
      <x:c r="E28" s="26" t="str">
        <x:v>P0</x:v>
      </x:c>
      <x:c r="F28" s="26" t="str">
        <x:v>Open</x:v>
      </x:c>
      <x:c r="G28" s="26" t="str">
        <x:v>Unassigned</x:v>
      </x:c>
      <x:c r="H28" s="26" t="str">
        <x:v>MIG-004</x:v>
      </x:c>
      <x:c r="I28" s="26" t="str">
        <x:v>Failures before and after DNS but before AWS writes restore Railway without split brain</x:v>
      </x:c>
      <x:c r="J28" s="26" t="str">
        <x:v>Production plan Task 16</x:v>
      </x:c>
      <x:c r="K28" s="26" t="str">
        <x:v>https://github.com/RohithTadiparti/world-of-weddingz-production/issues/28</x:v>
      </x:c>
      <x:c r="L28" s="26" t="str"/>
      <x:c r="M28" s="29" t="str">
        <x:v>2026-10-04</x:v>
      </x:c>
    </x:row>
    <x:row r="29" ht="30" customHeight="1">
      <x:c r="A29" s="26" t="str">
        <x:v>REL-001</x:v>
      </x:c>
      <x:c r="B29" s="26" t="str">
        <x:v>Launch Railway public beta</x:v>
      </x:c>
      <x:c r="C29" s="26" t="str">
        <x:v>Release</x:v>
      </x:c>
      <x:c r="D29" s="26" t="str">
        <x:v>Release</x:v>
      </x:c>
      <x:c r="E29" s="26" t="str">
        <x:v>P0</x:v>
      </x:c>
      <x:c r="F29" s="26" t="str">
        <x:v>Open</x:v>
      </x:c>
      <x:c r="G29" s="26" t="str">
        <x:v>Unassigned</x:v>
      </x:c>
      <x:c r="H29" s="26" t="str">
        <x:v>SEC-001,SEC-002,OPS-001,SEC-003,DEP-001,OBS-003,CFG-001,RLY-001,S3-001,QA-001</x:v>
      </x:c>
      <x:c r="I29" s="26" t="str">
        <x:v>All public-beta gates and live all-role tests pass before domain attachment</x:v>
      </x:c>
      <x:c r="J29" s="26" t="str">
        <x:v>Production plan Task 17</x:v>
      </x:c>
      <x:c r="K29" s="26" t="str">
        <x:v>https://github.com/RohithTadiparti/world-of-weddingz-production/issues/29</x:v>
      </x:c>
      <x:c r="L29" s="26" t="str"/>
      <x:c r="M29" s="29" t="str">
        <x:v>2026-10-04</x:v>
      </x:c>
    </x:row>
    <x:row r="30" ht="30" customHeight="1">
      <x:c r="A30" s="26" t="str">
        <x:v>REL-002</x:v>
      </x:c>
      <x:c r="B30" s="26" t="str">
        <x:v>Enable real AWS migration action</x:v>
      </x:c>
      <x:c r="C30" s="26" t="str">
        <x:v>Release</x:v>
      </x:c>
      <x:c r="D30" s="26" t="str">
        <x:v>Release</x:v>
      </x:c>
      <x:c r="E30" s="26" t="str">
        <x:v>P1</x:v>
      </x:c>
      <x:c r="F30" s="26" t="str">
        <x:v>Open</x:v>
      </x:c>
      <x:c r="G30" s="26" t="str">
        <x:v>Unassigned</x:v>
      </x:c>
      <x:c r="H30" s="26" t="str">
        <x:v>QA-002,QA-003</x:v>
      </x:c>
      <x:c r="I30" s="26" t="str">
        <x:v>Real executor remains disabled until rehearsal budget backup MFA and infrastructure gates are green</x:v>
      </x:c>
      <x:c r="J30" s="26" t="str">
        <x:v>Production plan final gate</x:v>
      </x:c>
      <x:c r="K30" s="26" t="str">
        <x:v>https://github.com/RohithTadiparti/world-of-weddingz-production/issues/30</x:v>
      </x:c>
      <x:c r="L30" s="26" t="str"/>
      <x:c r="M30" s="29" t="str">
        <x:v>2026-10-04</x:v>
      </x:c>
    </x:row>
    <x:row r="31" ht="30" customHeight="1">
      <x:c r="A31" s="26" t="str">
        <x:v>SYNC-001</x:v>
      </x:c>
      <x:c r="B31" s="26" t="str">
        <x:v>Review current uncommitted planner-client source change</x:v>
      </x:c>
      <x:c r="C31" s="26" t="str">
        <x:v>Source intake</x:v>
      </x:c>
      <x:c r="D31" s="26" t="str">
        <x:v>Change intake</x:v>
      </x:c>
      <x:c r="E31" s="26" t="str">
        <x:v>P1</x:v>
      </x:c>
      <x:c r="F31" s="26" t="str">
        <x:v>Open</x:v>
      </x:c>
      <x:c r="G31" s="26" t="str">
        <x:v>Unassigned</x:v>
      </x:c>
      <x:c r="H31" s="26" t="str"/>
      <x:c r="I31" s="26" t="str">
        <x:v>Classify and either integrate through a traced PR or reject with reason</x:v>
      </x:c>
      <x:c r="J31" s="26" t="str">
        <x:v>Current WOW working tree mobile/src/app/planner-clients.tsx</x:v>
      </x:c>
      <x:c r="K31" s="26" t="str">
        <x:v>https://github.com/RohithTadiparti/world-of-weddingz-production/issues/31</x:v>
      </x:c>
      <x:c r="L31" s="26" t="str"/>
      <x:c r="M31" s="29" t="str">
        <x:v>2026-10-04</x:v>
      </x:c>
    </x:row>
    <x:row r="32" ht="30" customHeight="1">
      <x:c r="A32" s="26" t="str">
        <x:v>SYNC-002</x:v>
      </x:c>
      <x:c r="B32" s="26" t="str">
        <x:v>Continuously review committed WOW-MD functional changes</x:v>
      </x:c>
      <x:c r="C32" s="26" t="str">
        <x:v>Source intake</x:v>
      </x:c>
      <x:c r="D32" s="26" t="str">
        <x:v>Change intake</x:v>
      </x:c>
      <x:c r="E32" s="26" t="str">
        <x:v>P1</x:v>
      </x:c>
      <x:c r="F32" s="26" t="str">
        <x:v>Blocked</x:v>
      </x:c>
      <x:c r="G32" s="26" t="str">
        <x:v>Product owner</x:v>
      </x:c>
      <x:c r="H32" s="26" t="str">
        <x:v>GOV-002</x:v>
      </x:c>
      <x:c r="I32" s="26" t="str">
        <x:v>Every new source commit is classified and accepted changes have production PRs</x:v>
      </x:c>
      <x:c r="J32" s="26" t="str">
        <x:v>Source integration policy</x:v>
      </x:c>
      <x:c r="K32" s="26" t="str">
        <x:v>https://github.com/RohithTadiparti/world-of-weddingz-production/issues/32</x:v>
      </x:c>
      <x:c r="L32" s="26" t="str">
        <x:v>https://github.com/RohithTadiparti/world-of-weddingz-production/pull/55</x:v>
      </x:c>
      <x:c r="M32" s="29" t="str">
        <x:v>2026-10-04</x:v>
      </x:c>
    </x:row>
    <x:row r="33" ht="30" customHeight="1">
      <x:c r="A33" s="26" t="str">
        <x:v>QA-004</x:v>
      </x:c>
      <x:c r="B33" s="26" t="str">
        <x:v>Replace stale public and registration Playwright locators</x:v>
      </x:c>
      <x:c r="C33" s="26" t="str">
        <x:v>Public beta safety</x:v>
      </x:c>
      <x:c r="D33" s="26" t="str">
        <x:v>Quality</x:v>
      </x:c>
      <x:c r="E33" s="26" t="str">
        <x:v>P1</x:v>
      </x:c>
      <x:c r="F33" s="26" t="str">
        <x:v>Open</x:v>
      </x:c>
      <x:c r="G33" s="26" t="str">
        <x:v>Unassigned</x:v>
      </x:c>
      <x:c r="H33" s="26" t="str"/>
      <x:c r="I33" s="26" t="str">
        <x:v>Legacy two failures are updated to current accessible contracts and pass</x:v>
      </x:c>
      <x:c r="J33" s="26" t="str">
        <x:v>QA findings F-002 F-003</x:v>
      </x:c>
      <x:c r="K33" s="26" t="str">
        <x:v>https://github.com/RohithTadiparti/world-of-weddingz-production/issues/33</x:v>
      </x:c>
      <x:c r="L33" s="26" t="str"/>
      <x:c r="M33" s="29" t="str">
        <x:v>2026-10-04</x:v>
      </x:c>
    </x:row>
    <x:row r="34" ht="30" customHeight="1">
      <x:c r="A34" s="26" t="str">
        <x:v>REL-003</x:v>
      </x:c>
      <x:c r="B34" s="26" t="str">
        <x:v>Embed deployment revision and provenance</x:v>
      </x:c>
      <x:c r="C34" s="26" t="str">
        <x:v>Public beta safety</x:v>
      </x:c>
      <x:c r="D34" s="26" t="str">
        <x:v>Release</x:v>
      </x:c>
      <x:c r="E34" s="26" t="str">
        <x:v>P0</x:v>
      </x:c>
      <x:c r="F34" s="26" t="str">
        <x:v>Open</x:v>
      </x:c>
      <x:c r="G34" s="26" t="str">
        <x:v>Unassigned</x:v>
      </x:c>
      <x:c r="H34" s="26" t="str">
        <x:v>CFG-001</x:v>
      </x:c>
      <x:c r="I34" s="26" t="str">
        <x:v>Health and deployed UI identify the exact commit/image/config digest</x:v>
      </x:c>
      <x:c r="J34" s="26" t="str">
        <x:v>QA finding F-001</x:v>
      </x:c>
      <x:c r="K34" s="26" t="str">
        <x:v>https://github.com/RohithTadiparti/world-of-weddingz-production/issues/34</x:v>
      </x:c>
      <x:c r="L34" s="26" t="str"/>
      <x:c r="M34" s="29" t="str">
        <x:v>2026-10-04</x:v>
      </x:c>
    </x:row>
    <x:row r="35" ht="30" customHeight="1">
      <x:c r="A35" s="26" t="str">
        <x:v>INT-001</x:v>
      </x:c>
      <x:c r="B35" s="26" t="str">
        <x:v>Define live integration onboarding gates</x:v>
      </x:c>
      <x:c r="C35" s="26" t="str">
        <x:v>Post-beta</x:v>
      </x:c>
      <x:c r="D35" s="26" t="str">
        <x:v>Integration</x:v>
      </x:c>
      <x:c r="E35" s="26" t="str">
        <x:v>P2</x:v>
      </x:c>
      <x:c r="F35" s="26" t="str">
        <x:v>Open</x:v>
      </x:c>
      <x:c r="G35" s="26" t="str">
        <x:v>Unassigned</x:v>
      </x:c>
      <x:c r="H35" s="26" t="str">
        <x:v>CFG-001</x:v>
      </x:c>
      <x:c r="I35" s="26" t="str">
        <x:v>Each provider has sandbox production secrets webhooks budget owner and contract tests</x:v>
      </x:c>
      <x:c r="J35" s="26" t="str">
        <x:v>QA limit L-002</x:v>
      </x:c>
      <x:c r="K35" s="26" t="str">
        <x:v>https://github.com/RohithTadiparti/world-of-weddingz-production/issues/35</x:v>
      </x:c>
      <x:c r="L35" s="26" t="str"/>
      <x:c r="M35" s="29" t="str">
        <x:v>2026-10-04</x:v>
      </x:c>
    </x:row>
    <x:row r="36" ht="30" customHeight="1">
      <x:c r="A36" s="26" t="str">
        <x:v>GOV-001</x:v>
      </x:c>
      <x:c r="B36" s="26" t="str">
        <x:v>Enable private-repository protection and security settings</x:v>
      </x:c>
      <x:c r="C36" s="26" t="str">
        <x:v>Governance</x:v>
      </x:c>
      <x:c r="D36" s="26" t="str">
        <x:v>Governance</x:v>
      </x:c>
      <x:c r="E36" s="26" t="str">
        <x:v>P0</x:v>
      </x:c>
      <x:c r="F36" s="26" t="str">
        <x:v>Done</x:v>
      </x:c>
      <x:c r="G36" s="26" t="str">
        <x:v>Codex</x:v>
      </x:c>
      <x:c r="H36" s="26" t="str"/>
      <x:c r="I36" s="26" t="str">
        <x:v>Main requires PR and checks; security scanners and private reporting are enabled</x:v>
      </x:c>
      <x:c r="J36" s="26" t="str">
        <x:v>User request</x:v>
      </x:c>
      <x:c r="K36" s="26" t="str">
        <x:v>https://github.com/RohithTadiparti/world-of-weddingz-production/issues/36</x:v>
      </x:c>
      <x:c r="L36" s="26" t="str">
        <x:v>https://github.com/RohithTadiparti/world-of-weddingz-production/pull/54</x:v>
      </x:c>
      <x:c r="M36" s="29" t="str">
        <x:v>2026-10-04</x:v>
      </x:c>
    </x:row>
    <x:row r="37" ht="30" customHeight="1">
      <x:c r="A37" s="26" t="str">
        <x:v>GOV-002</x:v>
      </x:c>
      <x:c r="B37" s="26" t="str">
        <x:v>Establish SDLC knowledge and tracking system</x:v>
      </x:c>
      <x:c r="C37" s="26" t="str">
        <x:v>Governance</x:v>
      </x:c>
      <x:c r="D37" s="26" t="str">
        <x:v>Governance</x:v>
      </x:c>
      <x:c r="E37" s="26" t="str">
        <x:v>P0</x:v>
      </x:c>
      <x:c r="F37" s="26" t="str">
        <x:v>Done</x:v>
      </x:c>
      <x:c r="G37" s="26" t="str">
        <x:v>Codex</x:v>
      </x:c>
      <x:c r="H37" s="26" t="str"/>
      <x:c r="I37" s="26" t="str">
        <x:v>Markdown CSV Excel issues PR protocol and Obsidian index are linked and verified</x:v>
      </x:c>
      <x:c r="J37" s="26" t="str">
        <x:v>User request</x:v>
      </x:c>
      <x:c r="K37" s="26" t="str">
        <x:v>https://github.com/RohithTadiparti/world-of-weddingz-production/issues/37</x:v>
      </x:c>
      <x:c r="L37" s="26" t="str">
        <x:v>https://github.com/RohithTadiparti/world-of-weddingz-production/pull/49</x:v>
      </x:c>
      <x:c r="M37" s="29" t="str">
        <x:v>2026-10-04</x:v>
      </x:c>
    </x:row>
    <x:row r="38" ht="30" customHeight="1">
      <x:c r="A38" s="27" t="str">
        <x:v>GOV-003</x:v>
      </x:c>
      <x:c r="B38" s="27" t="str">
        <x:v>Reconcile authentication and dependency tracking</x:v>
      </x:c>
      <x:c r="C38" s="27" t="str">
        <x:v>Governance</x:v>
      </x:c>
      <x:c r="D38" s="27" t="str">
        <x:v>Governance</x:v>
      </x:c>
      <x:c r="E38" s="27" t="str">
        <x:v>P0</x:v>
      </x:c>
      <x:c r="F38" s="27" t="str">
        <x:v>PR Open</x:v>
      </x:c>
      <x:c r="G38" s="27" t="str">
        <x:v>Codex</x:v>
      </x:c>
      <x:c r="H38" s="27" t="str">
        <x:v>SEC-001,DEP-001</x:v>
      </x:c>
      <x:c r="I38" s="27" t="str">
        <x:v>Canonical registers workbook and operating guidance match the implemented authentication policy and dependency evidence</x:v>
      </x:c>
      <x:c r="J38" s="27" t="str">
        <x:v>User request</x:v>
      </x:c>
      <x:c r="K38" s="27" t="str">
        <x:v>https://github.com/RohithTadiparti/world-of-weddingz-production/issues/60</x:v>
      </x:c>
      <x:c r="L38" s="27" t="str">
        <x:v>https://github.com/RohithTadiparti/world-of-weddingz-production/pull/61</x:v>
      </x:c>
      <x:c r="M38" s="30" t="str">
        <x:v>2026-10-05</x:v>
      </x:c>
    </x:row>
  </x:sheetData>
  <x:mergeCells>
    <x:mergeCell ref="A3:M3"/>
  </x:mergeCells>
  <x:conditionalFormatting sqref="E6:E38">
    <x:cfRule type="containsText" dxfId="0" priority="1" operator="containsText" text="P0"/>
  </x:conditionalFormatting>
  <x:conditionalFormatting sqref="F6:F38">
    <x:cfRule type="containsText" dxfId="1" priority="2" operator="containsText" text="Open"/>
    <x:cfRule type="containsText" dxfId="2" priority="3" operator="containsText" text="In Progress"/>
    <x:cfRule type="containsText" dxfId="3" priority="4" operator="containsText" text="Blocked"/>
    <x:cfRule type="containsText" dxfId="4" priority="5" operator="containsText" text="Done"/>
    <x:cfRule type="containsText" dxfId="5" priority="6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71e92e74fbff40b4"/>
  </x:tableParts>
</x:worksheet>
</file>

<file path=xl/worksheets/sheet3.xml><?xml version="1.0" encoding="utf-8"?>
<x:worksheet xmlns:x="http://schemas.openxmlformats.org/spreadsheetml/2006/main">
  <x:sheetPr>
    <x:tabColor rgb="FF7B3F0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38" hidden="0" customWidth="1"/>
    <x:col min="4" max="4" width="18" hidden="0" customWidth="1"/>
    <x:col min="5" max="5" width="24" hidden="0" customWidth="1"/>
    <x:col min="6" max="6" width="24" hidden="0" customWidth="1"/>
    <x:col min="7" max="7" width="18" hidden="0" customWidth="1"/>
  </x:cols>
  <x:sheetData>
    <x:row r="2">
      <x:c r="A2" s="3" t="str">
        <x:v>Requirements traceability</x:v>
      </x:c>
    </x:row>
    <x:row r="3">
      <x:c r="A3" s="2" t="str">
        <x:v>Generated from docs/tracking/registers. Update the CSV register, then regenerate this workbook.</x:v>
      </x:c>
    </x:row>
    <x:row r="5" ht="34" customHeight="1">
      <x:c r="A5" s="15" t="str">
        <x:v>ID</x:v>
      </x:c>
      <x:c r="B5" s="16" t="str">
        <x:v>Requirement</x:v>
      </x:c>
      <x:c r="C5" s="16" t="str">
        <x:v>Source</x:v>
      </x:c>
      <x:c r="D5" s="16" t="str">
        <x:v>Priority</x:v>
      </x:c>
      <x:c r="E5" s="16" t="str">
        <x:v>Verification</x:v>
      </x:c>
      <x:c r="F5" s="16" t="str">
        <x:v>WorkItems</x:v>
      </x:c>
      <x:c r="G5" s="17" t="str">
        <x:v>Status</x:v>
      </x:c>
    </x:row>
    <x:row r="6" ht="30" customHeight="1">
      <x:c r="A6" s="25" t="str">
        <x:v>REQ-DEPLOY-001</x:v>
      </x:c>
      <x:c r="B6" s="25" t="str">
        <x:v>Closed beta may use Railway Trial or Free but public launch must use Railway Hobby</x:v>
      </x:c>
      <x:c r="C6" s="25" t="str">
        <x:v>Migration design</x:v>
      </x:c>
      <x:c r="D6" s="25" t="str">
        <x:v>P0</x:v>
      </x:c>
      <x:c r="E6" s="25" t="str">
        <x:v>Deployment configuration and launch checklist</x:v>
      </x:c>
      <x:c r="F6" s="25" t="str">
        <x:v>RLY-001 REL-001</x:v>
      </x:c>
      <x:c r="G6" s="25" t="str">
        <x:v>Approved</x:v>
      </x:c>
    </x:row>
    <x:row r="7" ht="30" customHeight="1">
      <x:c r="A7" s="26" t="str">
        <x:v>REQ-DEPLOY-002</x:v>
      </x:c>
      <x:c r="B7" s="26" t="str">
        <x:v>Attach the production domain only at the final Railway launch gate</x:v>
      </x:c>
      <x:c r="C7" s="26" t="str">
        <x:v>User direction</x:v>
      </x:c>
      <x:c r="D7" s="26" t="str">
        <x:v>P0</x:v>
      </x:c>
      <x:c r="E7" s="26" t="str">
        <x:v>DNS evidence and release gate</x:v>
      </x:c>
      <x:c r="F7" s="26" t="str">
        <x:v>REL-001</x:v>
      </x:c>
      <x:c r="G7" s="26" t="str">
        <x:v>Approved</x:v>
      </x:c>
    </x:row>
    <x:row r="8" ht="30" customHeight="1">
      <x:c r="A8" s="26" t="str">
        <x:v>REQ-STORAGE-001</x:v>
      </x:c>
      <x:c r="B8" s="26" t="str">
        <x:v>All real user media uses private S3 from the first account</x:v>
      </x:c>
      <x:c r="C8" s="26" t="str">
        <x:v>Migration design</x:v>
      </x:c>
      <x:c r="D8" s="26" t="str">
        <x:v>P0</x:v>
      </x:c>
      <x:c r="E8" s="26" t="str">
        <x:v>S3 integration and privacy tests</x:v>
      </x:c>
      <x:c r="F8" s="26" t="str">
        <x:v>S3-001</x:v>
      </x:c>
      <x:c r="G8" s="26" t="str">
        <x:v>Approved</x:v>
      </x:c>
    </x:row>
    <x:row r="9" ht="30" customHeight="1">
      <x:c r="A9" s="26" t="str">
        <x:v>REQ-CONFIG-001</x:v>
      </x:c>
      <x:c r="B9" s="26" t="str">
        <x:v>One committed non-secret configuration owns defaults and mock selections</x:v>
      </x:c>
      <x:c r="C9" s="26" t="str">
        <x:v>Migration design</x:v>
      </x:c>
      <x:c r="D9" s="26" t="str">
        <x:v>P0</x:v>
      </x:c>
      <x:c r="E9" s="26" t="str">
        <x:v>Loader tests and config-boundary CI</x:v>
      </x:c>
      <x:c r="F9" s="26" t="str">
        <x:v>CFG-001</x:v>
      </x:c>
      <x:c r="G9" s="26" t="str">
        <x:v>Approved</x:v>
      </x:c>
    </x:row>
    <x:row r="10" ht="30" customHeight="1">
      <x:c r="A10" s="26" t="str">
        <x:v>REQ-SECRET-001</x:v>
      </x:c>
      <x:c r="B10" s="26" t="str">
        <x:v>Secrets remain outside Git and are stored in platform secret stores</x:v>
      </x:c>
      <x:c r="C10" s="26" t="str">
        <x:v>Security policy</x:v>
      </x:c>
      <x:c r="D10" s="26" t="str">
        <x:v>P0</x:v>
      </x:c>
      <x:c r="E10" s="26" t="str">
        <x:v>Secret scan and environment review</x:v>
      </x:c>
      <x:c r="F10" s="26" t="str">
        <x:v>CFG-001,GOV-001</x:v>
      </x:c>
      <x:c r="G10" s="26" t="str">
        <x:v>Approved</x:v>
      </x:c>
    </x:row>
    <x:row r="11" ht="30" customHeight="1">
      <x:c r="A11" s="26" t="str">
        <x:v>REQ-ALERT-001</x:v>
      </x:c>
      <x:c r="B11" s="26" t="str">
        <x:v>Admins receive persistent portal and email warning/critical alerts</x:v>
      </x:c>
      <x:c r="C11" s="26" t="str">
        <x:v>User direction</x:v>
      </x:c>
      <x:c r="D11" s="26" t="str">
        <x:v>P0</x:v>
      </x:c>
      <x:c r="E11" s="26" t="str">
        <x:v>Alert delivery unit/E2E and mail evidence</x:v>
      </x:c>
      <x:c r="F11" s="26" t="str">
        <x:v>OPS-002,OPS-003,UI-001</x:v>
      </x:c>
      <x:c r="G11" s="26" t="str">
        <x:v>Approved</x:v>
      </x:c>
    </x:row>
    <x:row r="12" ht="30" customHeight="1">
      <x:c r="A12" s="26" t="str">
        <x:v>REQ-ALERT-002</x:v>
      </x:c>
      <x:c r="B12" s="26" t="str">
        <x:v>Alerts use exact thresholds and deduplicate repeated observations</x:v>
      </x:c>
      <x:c r="C12" s="26" t="str">
        <x:v>Migration design</x:v>
      </x:c>
      <x:c r="D12" s="26" t="str">
        <x:v>P1</x:v>
      </x:c>
      <x:c r="E12" s="26" t="str">
        <x:v>Threshold and reminder tests</x:v>
      </x:c>
      <x:c r="F12" s="26" t="str">
        <x:v>OPS-002,OPS-003</x:v>
      </x:c>
      <x:c r="G12" s="26" t="str">
        <x:v>Approved</x:v>
      </x:c>
    </x:row>
    <x:row r="13" ht="30" customHeight="1">
      <x:c r="A13" s="26" t="str">
        <x:v>REQ-MIG-001</x:v>
      </x:c>
      <x:c r="B13" s="26" t="str">
        <x:v>One protected administrator action starts migration to AWS Option B</x:v>
      </x:c>
      <x:c r="C13" s="26" t="str">
        <x:v>User direction</x:v>
      </x:c>
      <x:c r="D13" s="26" t="str">
        <x:v>P0</x:v>
      </x:c>
      <x:c r="E13" s="26" t="str">
        <x:v>Admin Playwright and audit evidence</x:v>
      </x:c>
      <x:c r="F13" s="26" t="str">
        <x:v>AUTH-001,MIG-001,MIG-002</x:v>
      </x:c>
      <x:c r="G13" s="26" t="str">
        <x:v>Approved</x:v>
      </x:c>
    </x:row>
    <x:row r="14" ht="30" customHeight="1">
      <x:c r="A14" s="26" t="str">
        <x:v>REQ-MIG-002</x:v>
      </x:c>
      <x:c r="B14" s="26" t="str">
        <x:v>Migration runs outside Railway and survives source service loss</x:v>
      </x:c>
      <x:c r="C14" s="26" t="str">
        <x:v>Migration design</x:v>
      </x:c>
      <x:c r="D14" s="26" t="str">
        <x:v>P0</x:v>
      </x:c>
      <x:c r="E14" s="26" t="str">
        <x:v>Workflow interruption rehearsal</x:v>
      </x:c>
      <x:c r="F14" s="26" t="str">
        <x:v>MIG-003</x:v>
      </x:c>
      <x:c r="G14" s="26" t="str">
        <x:v>Approved</x:v>
      </x:c>
    </x:row>
    <x:row r="15" ht="30" customHeight="1">
      <x:c r="A15" s="26" t="str">
        <x:v>REQ-MIG-003</x:v>
      </x:c>
      <x:c r="B15" s="26" t="str">
        <x:v>Business writes pause no longer than 15 minutes for final cutover</x:v>
      </x:c>
      <x:c r="C15" s="26" t="str">
        <x:v>Migration design</x:v>
      </x:c>
      <x:c r="D15" s="26" t="str">
        <x:v>P0</x:v>
      </x:c>
      <x:c r="E15" s="26" t="str">
        <x:v>Cutover timer and rollback rehearsal</x:v>
      </x:c>
      <x:c r="F15" s="26" t="str">
        <x:v>MIG-004 QA-003</x:v>
      </x:c>
      <x:c r="G15" s="26" t="str">
        <x:v>Approved</x:v>
      </x:c>
    </x:row>
    <x:row r="16" ht="30" customHeight="1">
      <x:c r="A16" s="26" t="str">
        <x:v>REQ-MIG-004</x:v>
      </x:c>
      <x:c r="B16" s="26" t="str">
        <x:v>Automatic rollback is guaranteed before AWS writes are enabled</x:v>
      </x:c>
      <x:c r="C16" s="26" t="str">
        <x:v>Migration design</x:v>
      </x:c>
      <x:c r="D16" s="26" t="str">
        <x:v>P0</x:v>
      </x:c>
      <x:c r="E16" s="26" t="str">
        <x:v>Injected failure rehearsals</x:v>
      </x:c>
      <x:c r="F16" s="26" t="str">
        <x:v>QA-003</x:v>
      </x:c>
      <x:c r="G16" s="26" t="str">
        <x:v>Approved</x:v>
      </x:c>
    </x:row>
    <x:row r="17" ht="30" customHeight="1">
      <x:c r="A17" s="26" t="str">
        <x:v>REQ-MIG-005</x:v>
      </x:c>
      <x:c r="B17" s="26" t="str">
        <x:v>Railway remains read-only for 72 hours and deletion is separately approved</x:v>
      </x:c>
      <x:c r="C17" s="26" t="str">
        <x:v>Migration design</x:v>
      </x:c>
      <x:c r="D17" s="26" t="str">
        <x:v>P0</x:v>
      </x:c>
      <x:c r="E17" s="26" t="str">
        <x:v>Runbook and release evidence</x:v>
      </x:c>
      <x:c r="F17" s="26" t="str">
        <x:v>MIG-004,REL-002</x:v>
      </x:c>
      <x:c r="G17" s="26" t="str">
        <x:v>Approved</x:v>
      </x:c>
    </x:row>
    <x:row r="18" ht="30" customHeight="1">
      <x:c r="A18" s="26" t="str">
        <x:v>REQ-TRACE-001</x:v>
      </x:c>
      <x:c r="B18" s="26" t="str">
        <x:v>Every production task links requirement issue branch PR tests and evidence</x:v>
      </x:c>
      <x:c r="C18" s="26" t="str">
        <x:v>User direction</x:v>
      </x:c>
      <x:c r="D18" s="26" t="str">
        <x:v>P0</x:v>
      </x:c>
      <x:c r="E18" s="26" t="str">
        <x:v>Governance register validation</x:v>
      </x:c>
      <x:c r="F18" s="26" t="str">
        <x:v>GOV-001,GOV-002</x:v>
      </x:c>
      <x:c r="G18" s="26" t="str">
        <x:v>Approved</x:v>
      </x:c>
    </x:row>
    <x:row r="19" ht="30" customHeight="1">
      <x:c r="A19" s="26" t="str">
        <x:v>REQ-SYNC-001</x:v>
      </x:c>
      <x:c r="B19" s="26" t="str">
        <x:v>Functional source-repository changes are individually reviewed and integrated</x:v>
      </x:c>
      <x:c r="C19" s="26" t="str">
        <x:v>User direction</x:v>
      </x:c>
      <x:c r="D19" s="26" t="str">
        <x:v>P1</x:v>
      </x:c>
      <x:c r="E19" s="26" t="str">
        <x:v>Change-intake and production PR</x:v>
      </x:c>
      <x:c r="F19" s="26" t="str">
        <x:v>SYNC-002</x:v>
      </x:c>
      <x:c r="G19" s="26" t="str">
        <x:v>Approved</x:v>
      </x:c>
    </x:row>
    <x:row r="20" ht="30" customHeight="1">
      <x:c r="A20" s="26" t="str">
        <x:v>REQ-QA-001</x:v>
      </x:c>
      <x:c r="B20" s="26" t="str">
        <x:v>CI unit database E2E Playwright mobile security and IaC checks are mandatory</x:v>
      </x:c>
      <x:c r="C20" s="26" t="str">
        <x:v>User direction</x:v>
      </x:c>
      <x:c r="D20" s="26" t="str">
        <x:v>P0</x:v>
      </x:c>
      <x:c r="E20" s="26" t="str">
        <x:v>Required GitHub checks</x:v>
      </x:c>
      <x:c r="F20" s="26" t="str">
        <x:v>GOV-001</x:v>
      </x:c>
      <x:c r="G20" s="26" t="str">
        <x:v>Approved</x:v>
      </x:c>
    </x:row>
    <x:row r="21" ht="30" customHeight="1">
      <x:c r="A21" s="26" t="str">
        <x:v>REQ-QA-002</x:v>
      </x:c>
      <x:c r="B21" s="26" t="str">
        <x:v>Database and UI values must match exactly after documented normalization</x:v>
      </x:c>
      <x:c r="C21" s="26" t="str">
        <x:v>QA mandate</x:v>
      </x:c>
      <x:c r="D21" s="26" t="str">
        <x:v>P0</x:v>
      </x:c>
      <x:c r="E21" s="26" t="str">
        <x:v>Reconciliation evidence</x:v>
      </x:c>
      <x:c r="F21" s="26" t="str">
        <x:v>MIG-004 QA-002</x:v>
      </x:c>
      <x:c r="G21" s="26" t="str">
        <x:v>Approved</x:v>
      </x:c>
    </x:row>
    <x:row r="22" ht="30" customHeight="1">
      <x:c r="A22" s="26" t="str">
        <x:v>REQ-LOG-001</x:v>
      </x:c>
      <x:c r="B22" s="26" t="str">
        <x:v>Logs remain searchable locally and in Loki for 30 days</x:v>
      </x:c>
      <x:c r="C22" s="26" t="str">
        <x:v>Logging decision</x:v>
      </x:c>
      <x:c r="D22" s="26" t="str">
        <x:v>P0</x:v>
      </x:c>
      <x:c r="E22" s="26" t="str">
        <x:v>Retention and query tests</x:v>
      </x:c>
      <x:c r="F22" s="26" t="str">
        <x:v>OBS-003</x:v>
      </x:c>
      <x:c r="G22" s="26" t="str">
        <x:v>Approved</x:v>
      </x:c>
    </x:row>
    <x:row r="23" ht="30" customHeight="1">
      <x:c r="A23" s="26" t="str">
        <x:v>REQ-REV-001</x:v>
      </x:c>
      <x:c r="B23" s="26" t="str">
        <x:v>AWS migration readiness reports INR 1.2M target and INR 1.5M preferred monthly net revenue</x:v>
      </x:c>
      <x:c r="C23" s="26" t="str">
        <x:v>Migration design</x:v>
      </x:c>
      <x:c r="D23" s="26" t="str">
        <x:v>P1</x:v>
      </x:c>
      <x:c r="E23" s="26" t="str">
        <x:v>Admin readiness UI test</x:v>
      </x:c>
      <x:c r="F23" s="26" t="str">
        <x:v>UI-001</x:v>
      </x:c>
      <x:c r="G23" s="26" t="str">
        <x:v>Approved</x:v>
      </x:c>
    </x:row>
    <x:row r="24" ht="30" customHeight="1">
      <x:c r="A24" s="26" t="str">
        <x:v>REQ-AUTH-001</x:v>
      </x:c>
      <x:c r="B24" s="26" t="str">
        <x:v>Administrators authenticate through Zoho SSO and do not require routine application TOTP</x:v>
      </x:c>
      <x:c r="C24" s="26" t="str">
        <x:v>User direction</x:v>
      </x:c>
      <x:c r="D24" s="26" t="str">
        <x:v>P0</x:v>
      </x:c>
      <x:c r="E24" s="26" t="str">
        <x:v>Authentication integration tests and controlled Zoho sign-in evidence</x:v>
      </x:c>
      <x:c r="F24" s="26" t="str">
        <x:v>SEC-001</x:v>
      </x:c>
      <x:c r="G24" s="26" t="str">
        <x:v>Approved</x:v>
      </x:c>
    </x:row>
    <x:row r="25" ht="30" customHeight="1">
      <x:c r="A25" s="26" t="str">
        <x:v>REQ-AUTH-002</x:v>
      </x:c>
      <x:c r="B25" s="26" t="str">
        <x:v>Existing users may sign in with Zoho SSO or username email or mobile plus password and any valid email provider is accepted</x:v>
      </x:c>
      <x:c r="C25" s="26" t="str">
        <x:v>User direction</x:v>
      </x:c>
      <x:c r="D25" s="26" t="str">
        <x:v>P0</x:v>
      </x:c>
      <x:c r="E25" s="26" t="str">
        <x:v>Backend frontend mobile and Playwright authentication tests</x:v>
      </x:c>
      <x:c r="F25" s="26" t="str">
        <x:v>SEC-001</x:v>
      </x:c>
      <x:c r="G25" s="26" t="str">
        <x:v>Approved</x:v>
      </x:c>
    </x:row>
    <x:row r="26" ht="30" customHeight="1">
      <x:c r="A26" s="26" t="str">
        <x:v>REQ-AUTH-003</x:v>
      </x:c>
      <x:c r="B26" s="26" t="str">
        <x:v>OTP is used only for signup/contact verification and password recovery and never as passwordless login</x:v>
      </x:c>
      <x:c r="C26" s="26" t="str">
        <x:v>User direction</x:v>
      </x:c>
      <x:c r="D26" s="26" t="str">
        <x:v>P0</x:v>
      </x:c>
      <x:c r="E26" s="26" t="str">
        <x:v>Route inventory and authentication tests</x:v>
      </x:c>
      <x:c r="F26" s="26" t="str">
        <x:v>SEC-001</x:v>
      </x:c>
      <x:c r="G26" s="26" t="str">
        <x:v>Approved</x:v>
      </x:c>
    </x:row>
    <x:row r="27" ht="30" customHeight="1">
      <x:c r="A27" s="27" t="str">
        <x:v>REQ-AUTH-004</x:v>
      </x:c>
      <x:c r="B27" s="27" t="str">
        <x:v>Zoho domain DNS sender mailbox SMTP application password and production OAuth callback are configured only at the final deployment gate</x:v>
      </x:c>
      <x:c r="C27" s="27" t="str">
        <x:v>User direction</x:v>
      </x:c>
      <x:c r="D27" s="27" t="str">
        <x:v>P0</x:v>
      </x:c>
      <x:c r="E27" s="27" t="str">
        <x:v>Final release checklist and controlled delivery/SSO evidence</x:v>
      </x:c>
      <x:c r="F27" s="27" t="str">
        <x:v>SEC-001,REL-001</x:v>
      </x:c>
      <x:c r="G27" s="27" t="str">
        <x:v>Approved</x:v>
      </x:c>
    </x:row>
  </x:sheetData>
  <x:mergeCells>
    <x:mergeCell ref="A3:G3"/>
  </x:mergeCells>
  <x:conditionalFormatting sqref="D6:D27">
    <x:cfRule type="containsText" dxfId="6" priority="1" operator="containsText" text="P0"/>
  </x:conditionalFormatting>
  <x:conditionalFormatting sqref="G6:G27">
    <x:cfRule type="containsText" dxfId="7" priority="2" operator="containsText" text="Open"/>
    <x:cfRule type="containsText" dxfId="8" priority="3" operator="containsText" text="In Progress"/>
    <x:cfRule type="containsText" dxfId="9" priority="4" operator="containsText" text="Blocked"/>
    <x:cfRule type="containsText" dxfId="10" priority="5" operator="containsText" text="Done"/>
    <x:cfRule type="containsText" dxfId="11" priority="6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d9c033dc32ff4aba"/>
  </x:tableParts>
</x:worksheet>
</file>

<file path=xl/worksheets/sheet4.xml><?xml version="1.0" encoding="utf-8"?>
<x:worksheet xmlns:x="http://schemas.openxmlformats.org/spreadsheetml/2006/main">
  <x:sheetPr>
    <x:tabColor rgb="FF355C7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55" hidden="0" customWidth="1"/>
    <x:col min="5" max="5" width="24" hidden="0" customWidth="1"/>
    <x:col min="6" max="6" width="55" hidden="0" customWidth="1"/>
    <x:col min="7" max="7" width="24" hidden="0" customWidth="1"/>
  </x:cols>
  <x:sheetData>
    <x:row r="2">
      <x:c r="A2" s="3" t="str">
        <x:v>Test coverage and evidence</x:v>
      </x:c>
    </x:row>
    <x:row r="3">
      <x:c r="A3" s="2" t="str">
        <x:v>Generated from docs/tracking/registers. Update the CSV register, then regenerate this workbook.</x:v>
      </x:c>
    </x:row>
    <x:row r="5" ht="34" customHeight="1">
      <x:c r="A5" s="15" t="str">
        <x:v>ID</x:v>
      </x:c>
      <x:c r="B5" s="16" t="str">
        <x:v>Layer</x:v>
      </x:c>
      <x:c r="C5" s="16" t="str">
        <x:v>Scope</x:v>
      </x:c>
      <x:c r="D5" s="16" t="str">
        <x:v>CurrentEvidence</x:v>
      </x:c>
      <x:c r="E5" s="16" t="str">
        <x:v>CurrentResult</x:v>
      </x:c>
      <x:c r="F5" s="16" t="str">
        <x:v>RequiredNextEvidence</x:v>
      </x:c>
      <x:c r="G5" s="17" t="str">
        <x:v>WorkItems</x:v>
      </x:c>
    </x:row>
    <x:row r="6" ht="30" customHeight="1">
      <x:c r="A6" s="25" t="str">
        <x:v>QA-BASE-001</x:v>
      </x:c>
      <x:c r="B6" s="25" t="str">
        <x:v>Backend unit and service</x:v>
      </x:c>
      <x:c r="C6" s="25" t="str">
        <x:v>64 suites and 787 cases</x:v>
      </x:c>
      <x:c r="D6" s="25" t="str">
        <x:v>QA workbook 2026-10-04</x:v>
      </x:c>
      <x:c r="E6" s="25" t="str">
        <x:v>778 passed 9 skipped</x:v>
      </x:c>
      <x:c r="F6" s="25" t="str">
        <x:v>All affected suites green on production repo</x:v>
      </x:c>
      <x:c r="G6" s="25" t="str">
        <x:v>All implementation items</x:v>
      </x:c>
    </x:row>
    <x:row r="7" ht="30" customHeight="1">
      <x:c r="A7" s="26" t="str">
        <x:v>QA-BASE-002</x:v>
      </x:c>
      <x:c r="B7" s="26" t="str">
        <x:v>Database E2E</x:v>
      </x:c>
      <x:c r="C7" s="26" t="str">
        <x:v>51 cases on isolated PostgreSQL</x:v>
      </x:c>
      <x:c r="D7" s="26" t="str">
        <x:v>QA workbook 2026-10-04</x:v>
      </x:c>
      <x:c r="E7" s="26" t="str">
        <x:v>50 passed 1 skipped</x:v>
      </x:c>
      <x:c r="F7" s="26" t="str">
        <x:v>Migration locking alert and cutover cases added</x:v>
      </x:c>
      <x:c r="G7" s="26" t="str">
        <x:v>OPS-001 OPS-002 MIG-001 MIG-004</x:v>
      </x:c>
    </x:row>
    <x:row r="8" ht="30" customHeight="1">
      <x:c r="A8" s="26" t="str">
        <x:v>QA-BASE-003</x:v>
      </x:c>
      <x:c r="B8" s="26" t="str">
        <x:v>Live UI role navigation</x:v>
      </x:c>
      <x:c r="C8" s="26" t="str">
        <x:v>105 authenticated screens across 8 roles</x:v>
      </x:c>
      <x:c r="D8" s="26" t="str">
        <x:v>QA workbook 2026-10-04</x:v>
      </x:c>
      <x:c r="E8" s="26" t="str">
        <x:v>16 of 18 legacy tests plus replacement flows</x:v>
      </x:c>
      <x:c r="F8" s="26" t="str">
        <x:v>Current locator suite green</x:v>
      </x:c>
      <x:c r="G8" s="26" t="str">
        <x:v>QA-004</x:v>
      </x:c>
    </x:row>
    <x:row r="9" ht="30" customHeight="1">
      <x:c r="A9" s="26" t="str">
        <x:v>QA-BASE-004</x:v>
      </x:c>
      <x:c r="B9" s="26" t="str">
        <x:v>Fresh account lifecycle</x:v>
      </x:c>
      <x:c r="C9" s="26" t="str">
        <x:v>Two six-role cohorts including recovery</x:v>
      </x:c>
      <x:c r="D9" s="26" t="str">
        <x:v>QA workbook 2026-10-04</x:v>
      </x:c>
      <x:c r="E9" s="26" t="str">
        <x:v>16 of 16 passed</x:v>
      </x:c>
      <x:c r="F9" s="26" t="str">
        <x:v>Repeat on Railway candidate</x:v>
      </x:c>
      <x:c r="G9" s="26" t="str">
        <x:v>REL-001</x:v>
      </x:c>
    </x:row>
    <x:row r="10" ht="30" customHeight="1">
      <x:c r="A10" s="26" t="str">
        <x:v>QA-BASE-005</x:v>
      </x:c>
      <x:c r="B10" s="26" t="str">
        <x:v>Wedding lifecycle</x:v>
      </x:c>
      <x:c r="C10" s="26" t="str">
        <x:v>Self-managed planner-assisted shared task and release</x:v>
      </x:c>
      <x:c r="D10" s="26" t="str">
        <x:v>QA workbook 2026-10-04</x:v>
      </x:c>
      <x:c r="E10" s="26" t="str">
        <x:v>3 of 3 passed</x:v>
      </x:c>
      <x:c r="F10" s="26" t="str">
        <x:v>Repeat on Railway and AWS rehearsal</x:v>
      </x:c>
      <x:c r="G10" s="26" t="str">
        <x:v>REL-001 QA-002</x:v>
      </x:c>
    </x:row>
    <x:row r="11" ht="30" customHeight="1">
      <x:c r="A11" s="26" t="str">
        <x:v>QA-BASE-006</x:v>
      </x:c>
      <x:c r="B11" s="26" t="str">
        <x:v>Database to UI reconciliation</x:v>
      </x:c>
      <x:c r="C11" s="26" t="str">
        <x:v>46 exact comparisons</x:v>
      </x:c>
      <x:c r="D11" s="26" t="str">
        <x:v>QA workbook 2026-10-04</x:v>
      </x:c>
      <x:c r="E11" s="26" t="str">
        <x:v>46 matched</x:v>
      </x:c>
      <x:c r="F11" s="26" t="str">
        <x:v>Automated source-target and UI reconciliation</x:v>
      </x:c>
      <x:c r="G11" s="26" t="str">
        <x:v>MIG-004 QA-002</x:v>
      </x:c>
    </x:row>
    <x:row r="12" ht="30" customHeight="1">
      <x:c r="A12" s="26" t="str">
        <x:v>QA-BASE-007</x:v>
      </x:c>
      <x:c r="B12" s="26" t="str">
        <x:v>API inventory</x:v>
      </x:c>
      <x:c r="C12" s="26" t="str">
        <x:v>426 Swagger operations</x:v>
      </x:c>
      <x:c r="D12" s="26" t="str">
        <x:v>QA workbook 2026-10-04</x:v>
      </x:c>
      <x:c r="E12" s="26" t="str">
        <x:v>Inventory complete with execution backlog</x:v>
      </x:c>
      <x:c r="F12" s="26" t="str">
        <x:v>Permission/state matrix for critical operations</x:v>
      </x:c>
      <x:c r="G12" s="26" t="str">
        <x:v>All API-changing items</x:v>
      </x:c>
    </x:row>
    <x:row r="13" ht="30" customHeight="1">
      <x:c r="A13" s="26" t="str">
        <x:v>QA-SEC-001</x:v>
      </x:c>
      <x:c r="B13" s="26" t="str">
        <x:v>Security</x:v>
      </x:c>
      <x:c r="C13" s="26" t="str">
        <x:v>Admin MFA provider startup WebSockets headers secrets dependencies</x:v>
      </x:c>
      <x:c r="D13" s="26" t="str">
        <x:v>SEC-001 PR 56 and merged WOW-MD PR 37</x:v>
      </x:c>
      <x:c r="E13" s="26" t="str">
        <x:v>Provider policy 6 of 6; admin auth/JWT 49 of 49; source mirror 55 of 55; protected source and production CI passed</x:v>
      </x:c>
      <x:c r="F13" s="26" t="str">
        <x:v>Complete live staged enrollment and Zoho delivery smoke evidence</x:v>
      </x:c>
      <x:c r="G13" s="26" t="str">
        <x:v>SEC-001 SEC-002 SEC-003 DEP-001 GOV-001</x:v>
      </x:c>
    </x:row>
    <x:row r="14" ht="30" customHeight="1">
      <x:c r="A14" s="26" t="str">
        <x:v>QA-PERF-001</x:v>
      </x:c>
      <x:c r="B14" s="26" t="str">
        <x:v>Performance</x:v>
      </x:c>
      <x:c r="C14" s="26" t="str">
        <x:v>Railway ramp spike soak recovery</x:v>
      </x:c>
      <x:c r="D14" s="26" t="str">
        <x:v>None</x:v>
      </x:c>
      <x:c r="E14" s="26" t="str">
        <x:v>Not run</x:v>
      </x:c>
      <x:c r="F14" s="26" t="str">
        <x:v>Measured limits with 30 percent headroom</x:v>
      </x:c>
      <x:c r="G14" s="26" t="str">
        <x:v>QA-001</x:v>
      </x:c>
    </x:row>
    <x:row r="15" ht="30" customHeight="1">
      <x:c r="A15" s="26" t="str">
        <x:v>QA-RES-001</x:v>
      </x:c>
      <x:c r="B15" s="26" t="str">
        <x:v>Resilience</x:v>
      </x:c>
      <x:c r="C15" s="26" t="str">
        <x:v>Backup restore and failed cutover</x:v>
      </x:c>
      <x:c r="D15" s="26" t="str">
        <x:v>None</x:v>
      </x:c>
      <x:c r="E15" s="26" t="str">
        <x:v>Not run</x:v>
      </x:c>
      <x:c r="F15" s="26" t="str">
        <x:v>Successful restore and two rollback rehearsals</x:v>
      </x:c>
      <x:c r="G15" s="26" t="str">
        <x:v>QA-002 QA-003</x:v>
      </x:c>
    </x:row>
    <x:row r="16" ht="30" customHeight="1">
      <x:c r="A16" s="27" t="str">
        <x:v>QA-GOV-001</x:v>
      </x:c>
      <x:c r="B16" s="27" t="str">
        <x:v>Source synchronization</x:v>
      </x:c>
      <x:c r="C16" s="27" t="str">
        <x:v>Private-source report and shared-code mirror gate</x:v>
      </x:c>
      <x:c r="D16" s="27" t="str">
        <x:v>PR 55 local evidence</x:v>
      </x:c>
      <x:c r="E16" s="27" t="str">
        <x:v>19 of 19 governance and synchronization tests passed</x:v>
      </x:c>
      <x:c r="F16" s="27" t="str">
        <x:v>Configure WOW_SYNC_TOKEN and capture first scheduled artifact</x:v>
      </x:c>
      <x:c r="G16" s="27" t="str">
        <x:v>SYNC-002</x:v>
      </x:c>
    </x:row>
  </x:sheetData>
  <x:mergeCells>
    <x:mergeCell ref="A3:G3"/>
  </x:mergeCells>
  <x:pageMargins left="0.7" right="0.7" top="0.75" bottom="0.75" header="0.3" footer="0.3"/>
  <x:tableParts count="1">
    <x:tablePart xmlns:r="http://schemas.openxmlformats.org/officeDocument/2006/relationships" r:id="R7a610213677546d4"/>
  </x:tableParts>
</x:worksheet>
</file>

<file path=xl/worksheets/sheet5.xml><?xml version="1.0" encoding="utf-8"?>
<x:worksheet xmlns:x="http://schemas.openxmlformats.org/spreadsheetml/2006/main">
  <x:sheetPr>
    <x:tabColor rgb="FF9A341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24" hidden="0" customWidth="1"/>
    <x:col min="4" max="4" width="24" hidden="0" customWidth="1"/>
    <x:col min="5" max="5" width="18" hidden="0" customWidth="1"/>
    <x:col min="6" max="6" width="55" hidden="0" customWidth="1"/>
    <x:col min="7" max="7" width="18" hidden="0" customWidth="1"/>
    <x:col min="8" max="8" width="18" hidden="0" customWidth="1"/>
    <x:col min="9" max="9" width="55" hidden="0" customWidth="1"/>
  </x:cols>
  <x:sheetData>
    <x:row r="2">
      <x:c r="A2" s="3" t="str">
        <x:v>Production risks</x:v>
      </x:c>
    </x:row>
    <x:row r="3">
      <x:c r="A3" s="2" t="str">
        <x:v>Generated from docs/tracking/registers. Update the CSV register, then regenerate this workbook.</x:v>
      </x:c>
    </x:row>
    <x:row r="5" ht="34" customHeight="1">
      <x:c r="A5" s="15" t="str">
        <x:v>ID</x:v>
      </x:c>
      <x:c r="B5" s="16" t="str">
        <x:v>Risk</x:v>
      </x:c>
      <x:c r="C5" s="16" t="str">
        <x:v>Impact</x:v>
      </x:c>
      <x:c r="D5" s="16" t="str">
        <x:v>Likelihood</x:v>
      </x:c>
      <x:c r="E5" s="16" t="str">
        <x:v>Priority</x:v>
      </x:c>
      <x:c r="F5" s="16" t="str">
        <x:v>Mitigation</x:v>
      </x:c>
      <x:c r="G5" s="16" t="str">
        <x:v>Owner</x:v>
      </x:c>
      <x:c r="H5" s="16" t="str">
        <x:v>Status</x:v>
      </x:c>
      <x:c r="I5" s="17" t="str">
        <x:v>Evidence</x:v>
      </x:c>
    </x:row>
    <x:row r="6" ht="30" customHeight="1">
      <x:c r="A6" s="25" t="str">
        <x:v>RISK-001</x:v>
      </x:c>
      <x:c r="B6" s="25" t="str">
        <x:v>Public beta exposes real PII before security blockers close</x:v>
      </x:c>
      <x:c r="C6" s="25" t="str">
        <x:v>Critical</x:v>
      </x:c>
      <x:c r="D6" s="25" t="str">
        <x:v>Possible</x:v>
      </x:c>
      <x:c r="E6" s="25" t="str">
        <x:v>P0</x:v>
      </x:c>
      <x:c r="F6" s="25" t="str">
        <x:v>Block domain launch on security release gates</x:v>
      </x:c>
      <x:c r="G6" s="25" t="str">
        <x:v>Unassigned</x:v>
      </x:c>
      <x:c r="H6" s="25" t="str">
        <x:v>Open</x:v>
      </x:c>
      <x:c r="I6" s="25" t="str"/>
    </x:row>
    <x:row r="7" ht="30" customHeight="1">
      <x:c r="A7" s="26" t="str">
        <x:v>RISK-002</x:v>
      </x:c>
      <x:c r="B7" s="26" t="str">
        <x:v>Free or hard spending limit stops Railway workloads</x:v>
      </x:c>
      <x:c r="C7" s="26" t="str">
        <x:v>High</x:v>
      </x:c>
      <x:c r="D7" s="26" t="str">
        <x:v>Possible</x:v>
      </x:c>
      <x:c r="E7" s="26" t="str">
        <x:v>P0</x:v>
      </x:c>
      <x:c r="F7" s="26" t="str">
        <x:v>Use Hobby for public launch and alert before hard limit</x:v>
      </x:c>
      <x:c r="G7" s="26" t="str">
        <x:v>Unassigned</x:v>
      </x:c>
      <x:c r="H7" s="26" t="str">
        <x:v>Open</x:v>
      </x:c>
      <x:c r="I7" s="26" t="str"/>
    </x:row>
    <x:row r="8" ht="30" customHeight="1">
      <x:c r="A8" s="26" t="str">
        <x:v>RISK-003</x:v>
      </x:c>
      <x:c r="B8" s="26" t="str">
        <x:v>Railway memory is insufficient for the backend</x:v>
      </x:c>
      <x:c r="C8" s="26" t="str">
        <x:v>High</x:v>
      </x:c>
      <x:c r="D8" s="26" t="str">
        <x:v>Possible</x:v>
      </x:c>
      <x:c r="E8" s="26" t="str">
        <x:v>P0</x:v>
      </x:c>
      <x:c r="F8" s="26" t="str">
        <x:v>Measure idle/load use and retain 30 percent headroom</x:v>
      </x:c>
      <x:c r="G8" s="26" t="str">
        <x:v>Unassigned</x:v>
      </x:c>
      <x:c r="H8" s="26" t="str">
        <x:v>Open</x:v>
      </x:c>
      <x:c r="I8" s="26" t="str"/>
    </x:row>
    <x:row r="9" ht="30" customHeight="1">
      <x:c r="A9" s="26" t="str">
        <x:v>RISK-004</x:v>
      </x:c>
      <x:c r="B9" s="26" t="str">
        <x:v>Public or missing S3 objects expose or lose user media</x:v>
      </x:c>
      <x:c r="C9" s="26" t="str">
        <x:v>Critical</x:v>
      </x:c>
      <x:c r="D9" s="26" t="str">
        <x:v>Possible</x:v>
      </x:c>
      <x:c r="E9" s="26" t="str">
        <x:v>P0</x:v>
      </x:c>
      <x:c r="F9" s="26" t="str">
        <x:v>Private bucket least privilege reconciliation and restore test</x:v>
      </x:c>
      <x:c r="G9" s="26" t="str">
        <x:v>Unassigned</x:v>
      </x:c>
      <x:c r="H9" s="26" t="str">
        <x:v>Open</x:v>
      </x:c>
      <x:c r="I9" s="26" t="str"/>
    </x:row>
    <x:row r="10" ht="30" customHeight="1">
      <x:c r="A10" s="26" t="str">
        <x:v>RISK-005</x:v>
      </x:c>
      <x:c r="B10" s="26" t="str">
        <x:v>Duplicate jobs send or release money twice</x:v>
      </x:c>
      <x:c r="C10" s="26" t="str">
        <x:v>Critical</x:v>
      </x:c>
      <x:c r="D10" s="26" t="str">
        <x:v>Possible</x:v>
      </x:c>
      <x:c r="E10" s="26" t="str">
        <x:v>P0</x:v>
      </x:c>
      <x:c r="F10" s="26" t="str">
        <x:v>Database claims locks and idempotency tests</x:v>
      </x:c>
      <x:c r="G10" s="26" t="str">
        <x:v>Unassigned</x:v>
      </x:c>
      <x:c r="H10" s="26" t="str">
        <x:v>Open</x:v>
      </x:c>
      <x:c r="I10" s="26" t="str"/>
    </x:row>
    <x:row r="11" ht="30" customHeight="1">
      <x:c r="A11" s="26" t="str">
        <x:v>RISK-006</x:v>
      </x:c>
      <x:c r="B11" s="26" t="str">
        <x:v>Migration produces split-brain writes</x:v>
      </x:c>
      <x:c r="C11" s="26" t="str">
        <x:v>Critical</x:v>
      </x:c>
      <x:c r="D11" s="26" t="str">
        <x:v>Unlikely</x:v>
      </x:c>
      <x:c r="E11" s="26" t="str">
        <x:v>P0</x:v>
      </x:c>
      <x:c r="F11" s="26" t="str">
        <x:v>Read-only final sync and no rollback after AWS writes without reverse replication</x:v>
      </x:c>
      <x:c r="G11" s="26" t="str">
        <x:v>Unassigned</x:v>
      </x:c>
      <x:c r="H11" s="26" t="str">
        <x:v>Open</x:v>
      </x:c>
      <x:c r="I11" s="26" t="str"/>
    </x:row>
    <x:row r="12" ht="30" customHeight="1">
      <x:c r="A12" s="26" t="str">
        <x:v>RISK-007</x:v>
      </x:c>
      <x:c r="B12" s="26" t="str">
        <x:v>DNS cutover fails after source is paused</x:v>
      </x:c>
      <x:c r="C12" s="26" t="str">
        <x:v>High</x:v>
      </x:c>
      <x:c r="D12" s="26" t="str">
        <x:v>Possible</x:v>
      </x:c>
      <x:c r="E12" s="26" t="str">
        <x:v>P0</x:v>
      </x:c>
      <x:c r="F12" s="26" t="str">
        <x:v>Preflight DNS access TTL and automatic restoration rehearsal</x:v>
      </x:c>
      <x:c r="G12" s="26" t="str">
        <x:v>Unassigned</x:v>
      </x:c>
      <x:c r="H12" s="26" t="str">
        <x:v>Open</x:v>
      </x:c>
      <x:c r="I12" s="26" t="str"/>
    </x:row>
    <x:row r="13" ht="30" customHeight="1">
      <x:c r="A13" s="26" t="str">
        <x:v>RISK-008</x:v>
      </x:c>
      <x:c r="B13" s="26" t="str">
        <x:v>Source and production repositories drift silently</x:v>
      </x:c>
      <x:c r="C13" s="26" t="str">
        <x:v>High</x:v>
      </x:c>
      <x:c r="D13" s="26" t="str">
        <x:v>Likely</x:v>
      </x:c>
      <x:c r="E13" s="26" t="str">
        <x:v>P1</x:v>
      </x:c>
      <x:c r="F13" s="26" t="str">
        <x:v>Scheduled drift report and change-intake register</x:v>
      </x:c>
      <x:c r="G13" s="26" t="str">
        <x:v>Unassigned</x:v>
      </x:c>
      <x:c r="H13" s="26" t="str">
        <x:v>Open</x:v>
      </x:c>
      <x:c r="I13" s="26" t="str"/>
    </x:row>
    <x:row r="14" ht="30" customHeight="1">
      <x:c r="A14" s="26" t="str">
        <x:v>RISK-009</x:v>
      </x:c>
      <x:c r="B14" s="26" t="str">
        <x:v>Mock integration appears to deliver real email/payment/identity outcome</x:v>
      </x:c>
      <x:c r="C14" s="26" t="str">
        <x:v>High</x:v>
      </x:c>
      <x:c r="D14" s="26" t="str">
        <x:v>Possible</x:v>
      </x:c>
      <x:c r="E14" s="26" t="str">
        <x:v>P0</x:v>
      </x:c>
      <x:c r="F14" s="26" t="str">
        <x:v>Explicit simulated state and production fail-closed validation</x:v>
      </x:c>
      <x:c r="G14" s="26" t="str">
        <x:v>Unassigned</x:v>
      </x:c>
      <x:c r="H14" s="26" t="str">
        <x:v>Open</x:v>
      </x:c>
      <x:c r="I14" s="26" t="str"/>
    </x:row>
    <x:row r="15" ht="30" customHeight="1">
      <x:c r="A15" s="26" t="str">
        <x:v>RISK-010</x:v>
      </x:c>
      <x:c r="B15" s="26" t="str">
        <x:v>Historical secrets enter the private production history</x:v>
      </x:c>
      <x:c r="C15" s="26" t="str">
        <x:v>Critical</x:v>
      </x:c>
      <x:c r="D15" s="26" t="str">
        <x:v>Possible</x:v>
      </x:c>
      <x:c r="E15" s="26" t="str">
        <x:v>P0</x:v>
      </x:c>
      <x:c r="F15" s="26" t="str">
        <x:v>Clean snapshot history secret scanning and push protection</x:v>
      </x:c>
      <x:c r="G15" s="26" t="str">
        <x:v>Codex</x:v>
      </x:c>
      <x:c r="H15" s="26" t="str">
        <x:v>Mitigated</x:v>
      </x:c>
      <x:c r="I15" s="26" t="str">
        <x:v>Initial scan found no tracked high-confidence signatures</x:v>
      </x:c>
    </x:row>
    <x:row r="16" ht="30" customHeight="1">
      <x:c r="A16" s="26" t="str">
        <x:v>RISK-011</x:v>
      </x:c>
      <x:c r="B16" s="26" t="str">
        <x:v>Private repository cannot enforce native branch protection or secret scanning on the current GitHub plan</x:v>
      </x:c>
      <x:c r="C16" s="26" t="str">
        <x:v>High</x:v>
      </x:c>
      <x:c r="D16" s="26" t="str">
        <x:v>Certain</x:v>
      </x:c>
      <x:c r="E16" s="26" t="str">
        <x:v>P0</x:v>
      </x:c>
      <x:c r="F16" s="26" t="str">
        <x:v>Temporarily use public visibility with protected main and native security controls; return private only on an eligible tier</x:v>
      </x:c>
      <x:c r="G16" s="26" t="str">
        <x:v>Product owner</x:v>
      </x:c>
      <x:c r="H16" s="26" t="str">
        <x:v>Mitigated</x:v>
      </x:c>
      <x:c r="I16" s="26" t="str">
        <x:v>Public visibility and controls enabled through GOV-001 on 2026-10-04</x:v>
      </x:c>
    </x:row>
    <x:row r="17" ht="30" customHeight="1">
      <x:c r="A17" s="26" t="str">
        <x:v>RISK-012</x:v>
      </x:c>
      <x:c r="B17" s="26" t="str">
        <x:v>Public source exposes architecture test conventions and historical development-only credentials</x:v>
      </x:c>
      <x:c r="C17" s="26" t="str">
        <x:v>High</x:v>
      </x:c>
      <x:c r="D17" s="26" t="str">
        <x:v>Possible</x:v>
      </x:c>
      <x:c r="E17" s="26" t="str">
        <x:v>P0</x:v>
      </x:c>
      <x:c r="F17" s="26" t="str">
        <x:v>Remove fallback credentials; keep real secrets and PII outside Git; require push protection Gitleaks and native scanning</x:v>
      </x:c>
      <x:c r="G17" s="26" t="str">
        <x:v>Security</x:v>
      </x:c>
      <x:c r="H17" s="26" t="str">
        <x:v>Mitigated</x:v>
      </x:c>
      <x:c r="I17" s="26" t="str">
        <x:v>Tracked history scanned; seed fallback removed in GOV-001; test and production credentials require external stores</x:v>
      </x:c>
    </x:row>
    <x:row r="18" ht="30" customHeight="1">
      <x:c r="A18" s="26" t="str">
        <x:v>RISK-013</x:v>
      </x:c>
      <x:c r="B18" s="26" t="str">
        <x:v>Public deployment tier is enabled before Zoho SSO and administrator recovery are proven</x:v>
      </x:c>
      <x:c r="C18" s="26" t="str">
        <x:v>High</x:v>
      </x:c>
      <x:c r="D18" s="26" t="str">
        <x:v>Possible</x:v>
      </x:c>
      <x:c r="E18" s="26" t="str">
        <x:v>P0</x:v>
      </x:c>
      <x:c r="F18" s="26" t="str">
        <x:v>Verify exact OAuth client callback administrator matching-email login Zoho-account MFA and a documented recovery owner in restricted staging before public-beta</x:v>
      </x:c>
      <x:c r="G18" s="26" t="str">
        <x:v>Security</x:v>
      </x:c>
      <x:c r="H18" s="26" t="str">
        <x:v>Open</x:v>
      </x:c>
      <x:c r="I18" s="26" t="str">
        <x:v>SEC-001 PR 58 implements Zoho-only administrator login; production Zoho configuration is intentionally deferred to the final gate</x:v>
      </x:c>
    </x:row>
    <x:row r="19" ht="30" customHeight="1">
      <x:c r="A19" s="27" t="str">
        <x:v>RISK-014</x:v>
      </x:c>
      <x:c r="B19" s="27" t="str">
        <x:v>Framework and mobile build-tool dependency advisories remain after runtime remediation</x:v>
      </x:c>
      <x:c r="C19" s="27" t="str">
        <x:v>High</x:v>
      </x:c>
      <x:c r="D19" s="27" t="str">
        <x:v>Possible</x:v>
      </x:c>
      <x:c r="E19" s="27" t="str">
        <x:v>P0</x:v>
      </x:c>
      <x:c r="F19" s="27" t="str">
        <x:v>Block new critical/high runtime advisories; allow only four exact no-fix Expo advisory IDs; schedule Nest major migration and review exceptions each release</x:v>
      </x:c>
      <x:c r="G19" s="27" t="str">
        <x:v>Security</x:v>
      </x:c>
      <x:c r="H19" s="27" t="str">
        <x:v>Mitigated</x:v>
      </x:c>
      <x:c r="I19" s="27" t="str">
        <x:v>DEP-001 PR 59 records zero critical/high backend runtime advisories zero frontend advisories and the exact mobile exception set</x:v>
      </x:c>
    </x:row>
  </x:sheetData>
  <x:mergeCells>
    <x:mergeCell ref="A3:I3"/>
  </x:mergeCells>
  <x:conditionalFormatting sqref="E6:E19">
    <x:cfRule type="containsText" dxfId="12" priority="1" operator="containsText" text="P0"/>
  </x:conditionalFormatting>
  <x:conditionalFormatting sqref="H6:H19">
    <x:cfRule type="containsText" dxfId="13" priority="2" operator="containsText" text="Open"/>
    <x:cfRule type="containsText" dxfId="14" priority="3" operator="containsText" text="In Progress"/>
    <x:cfRule type="containsText" dxfId="15" priority="4" operator="containsText" text="Blocked"/>
    <x:cfRule type="containsText" dxfId="16" priority="5" operator="containsText" text="Done"/>
    <x:cfRule type="containsText" dxfId="17" priority="6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c9455da0425444e7"/>
  </x:tableParts>
</x:worksheet>
</file>

<file path=xl/worksheets/sheet6.xml><?xml version="1.0" encoding="utf-8"?>
<x:worksheet xmlns:x="http://schemas.openxmlformats.org/spreadsheetml/2006/main">
  <x:sheetPr>
    <x:tabColor rgb="FF4C1D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4" hidden="0" customWidth="1"/>
    <x:col min="9" max="9" width="55" hidden="0" customWidth="1"/>
  </x:cols>
  <x:sheetData>
    <x:row r="2">
      <x:c r="A2" s="3" t="str">
        <x:v>Account and access readiness</x:v>
      </x:c>
    </x:row>
    <x:row r="3">
      <x:c r="A3" s="2" t="str">
        <x:v>Generated from docs/tracking/registers. Update the CSV register, then regenerate this workbook.</x:v>
      </x:c>
    </x:row>
    <x:row r="5" ht="34" customHeight="1">
      <x:c r="A5" s="15" t="str">
        <x:v>ID</x:v>
      </x:c>
      <x:c r="B5" s="16" t="str">
        <x:v>System</x:v>
      </x:c>
      <x:c r="C5" s="16" t="str">
        <x:v>AccessNeeded</x:v>
      </x:c>
      <x:c r="D5" s="16" t="str">
        <x:v>HumanOwner</x:v>
      </x:c>
      <x:c r="E5" s="16" t="str">
        <x:v>MachineIdentity</x:v>
      </x:c>
      <x:c r="F5" s="16" t="str">
        <x:v>SecretLocation</x:v>
      </x:c>
      <x:c r="G5" s="16" t="str">
        <x:v>Status</x:v>
      </x:c>
      <x:c r="H5" s="16" t="str">
        <x:v>VerifiedDate</x:v>
      </x:c>
      <x:c r="I5" s="17" t="str">
        <x:v>Notes</x:v>
      </x:c>
    </x:row>
    <x:row r="6" ht="30" customHeight="1">
      <x:c r="A6" s="25" t="str">
        <x:v>ACC-001</x:v>
      </x:c>
      <x:c r="B6" s="25" t="str">
        <x:v>GitHub</x:v>
      </x:c>
      <x:c r="C6" s="25" t="str">
        <x:v>Public repository admin and Actions environments</x:v>
      </x:c>
      <x:c r="D6" s="25" t="str">
        <x:v>RohithTadiparti</x:v>
      </x:c>
      <x:c r="E6" s="25" t="str">
        <x:v>GitHub Actions token</x:v>
      </x:c>
      <x:c r="F6" s="25" t="str">
        <x:v>Github platform</x:v>
      </x:c>
      <x:c r="G6" s="25" t="str">
        <x:v>Available</x:v>
      </x:c>
      <x:c r="H6" s="28" t="str">
        <x:v>2026-10-04</x:v>
      </x:c>
      <x:c r="I6" s="25" t="str">
        <x:v>Public visibility; protected main; native secret scanning and push protection enabled</x:v>
      </x:c>
    </x:row>
    <x:row r="7" ht="30" customHeight="1">
      <x:c r="A7" s="26" t="str">
        <x:v>ACC-002</x:v>
      </x:c>
      <x:c r="B7" s="26" t="str">
        <x:v>Railway</x:v>
      </x:c>
      <x:c r="C7" s="26" t="str">
        <x:v>Project owner deploy variables domains usage and rollback</x:v>
      </x:c>
      <x:c r="D7" s="26" t="str">
        <x:v>To be confirmed</x:v>
      </x:c>
      <x:c r="E7" s="26" t="str">
        <x:v>Later project token</x:v>
      </x:c>
      <x:c r="F7" s="26" t="str">
        <x:v>GitHub railway-beta environment</x:v>
      </x:c>
      <x:c r="G7" s="26" t="str">
        <x:v>Pending</x:v>
      </x:c>
      <x:c r="H7" s="29" t="str"/>
      <x:c r="I7" s="26" t="str">
        <x:v>Do not create production domain until final gate</x:v>
      </x:c>
    </x:row>
    <x:row r="8" ht="30" customHeight="1">
      <x:c r="A8" s="26" t="str">
        <x:v>ACC-003</x:v>
      </x:c>
      <x:c r="B8" s="26" t="str">
        <x:v>AWS root</x:v>
      </x:c>
      <x:c r="C8" s="26" t="str">
        <x:v>Ownership billing recovery and MFA</x:v>
      </x:c>
      <x:c r="D8" s="26" t="str">
        <x:v>To be confirmed</x:v>
      </x:c>
      <x:c r="E8" s="26" t="str">
        <x:v>None</x:v>
      </x:c>
      <x:c r="F8" s="26" t="str">
        <x:v>AWS account</x:v>
      </x:c>
      <x:c r="G8" s="26" t="str">
        <x:v>Pending</x:v>
      </x:c>
      <x:c r="H8" s="29" t="str"/>
      <x:c r="I8" s="26" t="str">
        <x:v>No routine root use</x:v>
      </x:c>
    </x:row>
    <x:row r="9" ht="30" customHeight="1">
      <x:c r="A9" s="26" t="str">
        <x:v>ACC-004</x:v>
      </x:c>
      <x:c r="B9" s="26" t="str">
        <x:v>AWS administrator</x:v>
      </x:c>
      <x:c r="C9" s="26" t="str">
        <x:v>Identity Center or role for bootstrap IAM S3 KMS budgets and OIDC</x:v>
      </x:c>
      <x:c r="D9" s="26" t="str">
        <x:v>To be confirmed</x:v>
      </x:c>
      <x:c r="E9" s="26" t="str">
        <x:v>GitHub bootstrap OIDC role</x:v>
      </x:c>
      <x:c r="F9" s="26" t="str">
        <x:v>AWS and GitHub environments</x:v>
      </x:c>
      <x:c r="G9" s="26" t="str">
        <x:v>Pending</x:v>
      </x:c>
      <x:c r="H9" s="29" t="str"/>
      <x:c r="I9" s="26" t="str">
        <x:v>Prefer SSO and OIDC over access keys</x:v>
      </x:c>
    </x:row>
    <x:row r="10" ht="30" customHeight="1">
      <x:c r="A10" s="26" t="str">
        <x:v>ACC-005</x:v>
      </x:c>
      <x:c r="B10" s="26" t="str">
        <x:v>AWS S3 runtime</x:v>
      </x:c>
      <x:c r="C10" s="26" t="str">
        <x:v>Media-prefix object access only</x:v>
      </x:c>
      <x:c r="D10" s="26" t="str">
        <x:v>To be confirmed</x:v>
      </x:c>
      <x:c r="E10" s="26" t="str">
        <x:v>Railway runtime principal</x:v>
      </x:c>
      <x:c r="F10" s="26" t="str">
        <x:v>Railway variables</x:v>
      </x:c>
      <x:c r="G10" s="26" t="str">
        <x:v>Pending</x:v>
      </x:c>
      <x:c r="H10" s="29" t="str"/>
      <x:c r="I10" s="26" t="str">
        <x:v>No bucket admin permissions</x:v>
      </x:c>
    </x:row>
    <x:row r="11" ht="30" customHeight="1">
      <x:c r="A11" s="26" t="str">
        <x:v>ACC-006</x:v>
      </x:c>
      <x:c r="B11" s="26" t="str">
        <x:v>DNS provider</x:v>
      </x:c>
      <x:c r="C11" s="26" t="str">
        <x:v>Zone read and DNS edit for production domain</x:v>
      </x:c>
      <x:c r="D11" s="26" t="str">
        <x:v>To be confirmed</x:v>
      </x:c>
      <x:c r="E11" s="26" t="str">
        <x:v>Scoped DNS token</x:v>
      </x:c>
      <x:c r="F11" s="26" t="str">
        <x:v>GitHub production environment</x:v>
      </x:c>
      <x:c r="G11" s="26" t="str">
        <x:v>Pending</x:v>
      </x:c>
      <x:c r="H11" s="29" t="str"/>
      <x:c r="I11" s="26" t="str">
        <x:v>No global API key</x:v>
      </x:c>
    </x:row>
    <x:row r="12" ht="30" customHeight="1">
      <x:c r="A12" s="26" t="str">
        <x:v>ACC-007</x:v>
      </x:c>
      <x:c r="B12" s="26" t="str">
        <x:v>Operational email</x:v>
      </x:c>
      <x:c r="C12" s="26" t="str">
        <x:v>Zoho domain mailbox DNS authentication reports and app-password rotation</x:v>
      </x:c>
      <x:c r="D12" s="26" t="str">
        <x:v>To be confirmed</x:v>
      </x:c>
      <x:c r="E12" s="26" t="str">
        <x:v>Zoho SMTP identity</x:v>
      </x:c>
      <x:c r="F12" s="26" t="str">
        <x:v>GitHub Railway or Kubernetes secrets</x:v>
      </x:c>
      <x:c r="G12" s="26" t="str">
        <x:v>Approved candidate</x:v>
      </x:c>
      <x:c r="H12" s="29" t="str"/>
      <x:c r="I12" s="26" t="str">
        <x:v>Low-volume beta only; owner must configure domain MFA app password and first delivery evidence</x:v>
      </x:c>
    </x:row>
    <x:row r="13" ht="30" customHeight="1">
      <x:c r="A13" s="26" t="str">
        <x:v>ACC-008</x:v>
      </x:c>
      <x:c r="B13" s="26" t="str">
        <x:v>Payment provider</x:v>
      </x:c>
      <x:c r="C13" s="26" t="str">
        <x:v>Razorpay sandbox then production account</x:v>
      </x:c>
      <x:c r="D13" s="26" t="str">
        <x:v>To be confirmed</x:v>
      </x:c>
      <x:c r="E13" s="26" t="str">
        <x:v>Webhook/API credentials</x:v>
      </x:c>
      <x:c r="F13" s="26" t="str">
        <x:v>Protected secret store</x:v>
      </x:c>
      <x:c r="G13" s="26" t="str">
        <x:v>Deferred</x:v>
      </x:c>
      <x:c r="H13" s="29" t="str"/>
      <x:c r="I13" s="26" t="str">
        <x:v>Separate onboarding gate</x:v>
      </x:c>
    </x:row>
    <x:row r="14" ht="30" customHeight="1">
      <x:c r="A14" s="26" t="str">
        <x:v>ACC-009</x:v>
      </x:c>
      <x:c r="B14" s="26" t="str">
        <x:v>SMS WhatsApp push identity</x:v>
      </x:c>
      <x:c r="C14" s="26" t="str">
        <x:v>Provider sandbox then production accounts</x:v>
      </x:c>
      <x:c r="D14" s="26" t="str">
        <x:v>To be confirmed</x:v>
      </x:c>
      <x:c r="E14" s="26" t="str">
        <x:v>Provider credentials</x:v>
      </x:c>
      <x:c r="F14" s="26" t="str">
        <x:v>Protected secret store</x:v>
      </x:c>
      <x:c r="G14" s="26" t="str">
        <x:v>Deferred</x:v>
      </x:c>
      <x:c r="H14" s="29" t="str"/>
      <x:c r="I14" s="26" t="str">
        <x:v>Separate onboarding gates</x:v>
      </x:c>
    </x:row>
    <x:row r="15" ht="30" customHeight="1">
      <x:c r="A15" s="27" t="str">
        <x:v>ACC-010</x:v>
      </x:c>
      <x:c r="B15" s="27" t="str">
        <x:v>WOW-MD source review</x:v>
      </x:c>
      <x:c r="C15" s="27" t="str">
        <x:v>Private repository contents read for scheduled change reports</x:v>
      </x:c>
      <x:c r="D15" s="27" t="str">
        <x:v>RohithTadiparti</x:v>
      </x:c>
      <x:c r="E15" s="27" t="str">
        <x:v>Fine-grained WOW_SYNC_TOKEN</x:v>
      </x:c>
      <x:c r="F15" s="27" t="str">
        <x:v>Production GitHub Actions secret</x:v>
      </x:c>
      <x:c r="G15" s="27" t="str">
        <x:v>Pending</x:v>
      </x:c>
      <x:c r="H15" s="30" t="str"/>
      <x:c r="I15" s="27" t="str">
        <x:v>Scope only to WOW-MD Contents read; rotate within 90 days</x:v>
      </x:c>
    </x:row>
  </x:sheetData>
  <x:mergeCells>
    <x:mergeCell ref="A3:I3"/>
  </x:mergeCells>
  <x:conditionalFormatting sqref="G6:G15">
    <x:cfRule type="containsText" dxfId="18" priority="1" operator="containsText" text="Open"/>
    <x:cfRule type="containsText" dxfId="19" priority="2" operator="containsText" text="In Progress"/>
    <x:cfRule type="containsText" dxfId="20" priority="3" operator="containsText" text="Blocked"/>
    <x:cfRule type="containsText" dxfId="21" priority="4" operator="containsText" text="Done"/>
    <x:cfRule type="containsText" dxfId="22" priority="5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2959000a1a6746b1"/>
  </x:tableParts>
</x:worksheet>
</file>

<file path=xl/worksheets/sheet7.xml><?xml version="1.0" encoding="utf-8"?>
<x:worksheet xmlns:x="http://schemas.openxmlformats.org/spreadsheetml/2006/main">
  <x:sheetPr>
    <x:tabColor rgb="FF16653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24" hidden="0" customWidth="1"/>
    <x:col min="4" max="4" width="55" hidden="0" customWidth="1"/>
    <x:col min="5" max="5" width="18" hidden="0" customWidth="1"/>
    <x:col min="6" max="6" width="18" hidden="0" customWidth="1"/>
    <x:col min="7" max="7" width="55" hidden="0" customWidth="1"/>
    <x:col min="8" max="8" width="14" hidden="0" customWidth="1"/>
  </x:cols>
  <x:sheetData>
    <x:row r="2">
      <x:c r="A2" s="3" t="str">
        <x:v>Release gates</x:v>
      </x:c>
    </x:row>
    <x:row r="3">
      <x:c r="A3" s="2" t="str">
        <x:v>Generated from docs/tracking/registers. Update the CSV register, then regenerate this workbook.</x:v>
      </x:c>
    </x:row>
    <x:row r="5" ht="34" customHeight="1">
      <x:c r="A5" s="15" t="str">
        <x:v>ID</x:v>
      </x:c>
      <x:c r="B5" s="16" t="str">
        <x:v>Gate</x:v>
      </x:c>
      <x:c r="C5" s="16" t="str">
        <x:v>Environment</x:v>
      </x:c>
      <x:c r="D5" s="16" t="str">
        <x:v>RequiredEvidence</x:v>
      </x:c>
      <x:c r="E5" s="16" t="str">
        <x:v>Status</x:v>
      </x:c>
      <x:c r="F5" s="16" t="str">
        <x:v>Owner</x:v>
      </x:c>
      <x:c r="G5" s="16" t="str">
        <x:v>Evidence</x:v>
      </x:c>
      <x:c r="H5" s="17" t="str">
        <x:v>ApprovedDate</x:v>
      </x:c>
    </x:row>
    <x:row r="6" ht="30" customHeight="1">
      <x:c r="A6" s="25" t="str">
        <x:v>GATE-001</x:v>
      </x:c>
      <x:c r="B6" s="25" t="str">
        <x:v>Source baseline and secret scan</x:v>
      </x:c>
      <x:c r="C6" s="25" t="str">
        <x:v>Repository</x:v>
      </x:c>
      <x:c r="D6" s="25" t="str">
        <x:v>Clean-history baseline and secret scan</x:v>
      </x:c>
      <x:c r="E6" s="25" t="str">
        <x:v>Complete</x:v>
      </x:c>
      <x:c r="F6" s="25" t="str">
        <x:v>Codex</x:v>
      </x:c>
      <x:c r="G6" s="25" t="str">
        <x:v>Initial repository setup 2026-10-04</x:v>
      </x:c>
      <x:c r="H6" s="28" t="str">
        <x:v>2026-10-04</x:v>
      </x:c>
    </x:row>
    <x:row r="7" ht="30" customHeight="1">
      <x:c r="A7" s="26" t="str">
        <x:v>GATE-002</x:v>
      </x:c>
      <x:c r="B7" s="26" t="str">
        <x:v>Required CI and security checks</x:v>
      </x:c>
      <x:c r="C7" s="26" t="str">
        <x:v>Repository</x:v>
      </x:c>
      <x:c r="D7" s="26" t="str">
        <x:v>Green lint typecheck unit E2E build CodeQL dependency secret and IaC checks</x:v>
      </x:c>
      <x:c r="E7" s="26" t="str">
        <x:v>Open</x:v>
      </x:c>
      <x:c r="F7" s="26" t="str">
        <x:v>Unassigned</x:v>
      </x:c>
      <x:c r="G7" s="26" t="str"/>
      <x:c r="H7" s="29" t="str"/>
    </x:row>
    <x:row r="8" ht="30" customHeight="1">
      <x:c r="A8" s="26" t="str">
        <x:v>GATE-003</x:v>
      </x:c>
      <x:c r="B8" s="26" t="str">
        <x:v>Public-beta security blockers</x:v>
      </x:c>
      <x:c r="C8" s="26" t="str">
        <x:v>Railway candidate</x:v>
      </x:c>
      <x:c r="D8" s="26" t="str">
        <x:v>SEC-001 SEC-002 OPS-001 SEC-003 DEP-001 closed</x:v>
      </x:c>
      <x:c r="E8" s="26" t="str">
        <x:v>Open</x:v>
      </x:c>
      <x:c r="F8" s="26" t="str">
        <x:v>Unassigned</x:v>
      </x:c>
      <x:c r="G8" s="26" t="str"/>
      <x:c r="H8" s="29" t="str"/>
    </x:row>
    <x:row r="9" ht="30" customHeight="1">
      <x:c r="A9" s="26" t="str">
        <x:v>GATE-004</x:v>
      </x:c>
      <x:c r="B9" s="26" t="str">
        <x:v>Observability and backup restore</x:v>
      </x:c>
      <x:c r="C9" s="26" t="str">
        <x:v>Railway candidate</x:v>
      </x:c>
      <x:c r="D9" s="26" t="str">
        <x:v>30-day logs alerts backup and successful restore</x:v>
      </x:c>
      <x:c r="E9" s="26" t="str">
        <x:v>Open</x:v>
      </x:c>
      <x:c r="F9" s="26" t="str">
        <x:v>Unassigned</x:v>
      </x:c>
      <x:c r="G9" s="26" t="str"/>
      <x:c r="H9" s="29" t="str"/>
    </x:row>
    <x:row r="10" ht="30" customHeight="1">
      <x:c r="A10" s="26" t="str">
        <x:v>GATE-005</x:v>
      </x:c>
      <x:c r="B10" s="26" t="str">
        <x:v>Private S3 media</x:v>
      </x:c>
      <x:c r="C10" s="26" t="str">
        <x:v>Railway candidate</x:v>
      </x:c>
      <x:c r="D10" s="26" t="str">
        <x:v>Privacy persistence reconciliation and recovery evidence</x:v>
      </x:c>
      <x:c r="E10" s="26" t="str">
        <x:v>Open</x:v>
      </x:c>
      <x:c r="F10" s="26" t="str">
        <x:v>Unassigned</x:v>
      </x:c>
      <x:c r="G10" s="26" t="str"/>
      <x:c r="H10" s="29" t="str"/>
    </x:row>
    <x:row r="11" ht="30" customHeight="1">
      <x:c r="A11" s="26" t="str">
        <x:v>GATE-006</x:v>
      </x:c>
      <x:c r="B11" s="26" t="str">
        <x:v>Railway capacity</x:v>
      </x:c>
      <x:c r="C11" s="26" t="str">
        <x:v>Railway candidate</x:v>
      </x:c>
      <x:c r="D11" s="26" t="str">
        <x:v>Load report with 30 percent headroom</x:v>
      </x:c>
      <x:c r="E11" s="26" t="str">
        <x:v>Open</x:v>
      </x:c>
      <x:c r="F11" s="26" t="str">
        <x:v>Unassigned</x:v>
      </x:c>
      <x:c r="G11" s="26" t="str"/>
      <x:c r="H11" s="29" t="str"/>
    </x:row>
    <x:row r="12" ht="30" customHeight="1">
      <x:c r="A12" s="26" t="str">
        <x:v>GATE-007</x:v>
      </x:c>
      <x:c r="B12" s="26" t="str">
        <x:v>All-role release tests</x:v>
      </x:c>
      <x:c r="C12" s="26" t="str">
        <x:v>Railway candidate</x:v>
      </x:c>
      <x:c r="D12" s="26" t="str">
        <x:v>Current Playwright account wedding API and DB comparison evidence</x:v>
      </x:c>
      <x:c r="E12" s="26" t="str">
        <x:v>Open</x:v>
      </x:c>
      <x:c r="F12" s="26" t="str">
        <x:v>Unassigned</x:v>
      </x:c>
      <x:c r="G12" s="26" t="str"/>
      <x:c r="H12" s="29" t="str"/>
    </x:row>
    <x:row r="13" ht="30" customHeight="1">
      <x:c r="A13" s="26" t="str">
        <x:v>GATE-008</x:v>
      </x:c>
      <x:c r="B13" s="26" t="str">
        <x:v>Production domain attachment</x:v>
      </x:c>
      <x:c r="C13" s="26" t="str">
        <x:v>Railway public</x:v>
      </x:c>
      <x:c r="D13" s="26" t="str">
        <x:v>GATE-002 through GATE-007 approved</x:v>
      </x:c>
      <x:c r="E13" s="26" t="str">
        <x:v>Open</x:v>
      </x:c>
      <x:c r="F13" s="26" t="str">
        <x:v>Product owner</x:v>
      </x:c>
      <x:c r="G13" s="26" t="str"/>
      <x:c r="H13" s="29" t="str"/>
    </x:row>
    <x:row r="14" ht="30" customHeight="1">
      <x:c r="A14" s="26" t="str">
        <x:v>GATE-009</x:v>
      </x:c>
      <x:c r="B14" s="26" t="str">
        <x:v>AWS successful migration rehearsal</x:v>
      </x:c>
      <x:c r="C14" s="26" t="str">
        <x:v>AWS rehearsal</x:v>
      </x:c>
      <x:c r="D14" s="26" t="str">
        <x:v>Exact reconciliation all journeys and observation pass</x:v>
      </x:c>
      <x:c r="E14" s="26" t="str">
        <x:v>Open</x:v>
      </x:c>
      <x:c r="F14" s="26" t="str">
        <x:v>Unassigned</x:v>
      </x:c>
      <x:c r="G14" s="26" t="str"/>
      <x:c r="H14" s="29" t="str"/>
    </x:row>
    <x:row r="15" ht="30" customHeight="1">
      <x:c r="A15" s="26" t="str">
        <x:v>GATE-010</x:v>
      </x:c>
      <x:c r="B15" s="26" t="str">
        <x:v>AWS rollback rehearsal</x:v>
      </x:c>
      <x:c r="C15" s="26" t="str">
        <x:v>AWS rehearsal</x:v>
      </x:c>
      <x:c r="D15" s="26" t="str">
        <x:v>Before-DNS and after-DNS rollback evidence</x:v>
      </x:c>
      <x:c r="E15" s="26" t="str">
        <x:v>Open</x:v>
      </x:c>
      <x:c r="F15" s="26" t="str">
        <x:v>Unassigned</x:v>
      </x:c>
      <x:c r="G15" s="26" t="str"/>
      <x:c r="H15" s="29" t="str"/>
    </x:row>
    <x:row r="16" ht="30" customHeight="1">
      <x:c r="A16" s="26" t="str">
        <x:v>GATE-011</x:v>
      </x:c>
      <x:c r="B16" s="26" t="str">
        <x:v>Real migration executor enablement</x:v>
      </x:c>
      <x:c r="C16" s="26" t="str">
        <x:v>Production</x:v>
      </x:c>
      <x:c r="D16" s="26" t="str">
        <x:v>AWS budget MFA backup Terraform and rehearsals green</x:v>
      </x:c>
      <x:c r="E16" s="26" t="str">
        <x:v>Open</x:v>
      </x:c>
      <x:c r="F16" s="26" t="str">
        <x:v>Product owner</x:v>
      </x:c>
      <x:c r="G16" s="26" t="str"/>
      <x:c r="H16" s="29" t="str"/>
    </x:row>
    <x:row r="17" ht="30" customHeight="1">
      <x:c r="A17" s="27" t="str">
        <x:v>GATE-012</x:v>
      </x:c>
      <x:c r="B17" s="27" t="str">
        <x:v>Railway decommission</x:v>
      </x:c>
      <x:c r="C17" s="27" t="str">
        <x:v>Production</x:v>
      </x:c>
      <x:c r="D17" s="27" t="str">
        <x:v>72-hour stable AWS operation and separate approval</x:v>
      </x:c>
      <x:c r="E17" s="27" t="str">
        <x:v>Open</x:v>
      </x:c>
      <x:c r="F17" s="27" t="str">
        <x:v>Product owner</x:v>
      </x:c>
      <x:c r="G17" s="27" t="str"/>
      <x:c r="H17" s="30" t="str"/>
    </x:row>
  </x:sheetData>
  <x:mergeCells>
    <x:mergeCell ref="A3:H3"/>
  </x:mergeCells>
  <x:conditionalFormatting sqref="E6:E17">
    <x:cfRule type="containsText" dxfId="23" priority="1" operator="containsText" text="Open"/>
    <x:cfRule type="containsText" dxfId="24" priority="2" operator="containsText" text="In Progress"/>
    <x:cfRule type="containsText" dxfId="25" priority="3" operator="containsText" text="Blocked"/>
    <x:cfRule type="containsText" dxfId="26" priority="4" operator="containsText" text="Done"/>
    <x:cfRule type="containsText" dxfId="27" priority="5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da3f92729a9849ab"/>
  </x:tableParts>
</x:worksheet>
</file>

<file path=xl/worksheets/sheet8.xml><?xml version="1.0" encoding="utf-8"?>
<x:worksheet xmlns:x="http://schemas.openxmlformats.org/spreadsheetml/2006/main">
  <x:sheetPr>
    <x:tabColor rgb="FF07598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55" hidden="0" customWidth="1"/>
  </x:cols>
  <x:sheetData>
    <x:row r="2">
      <x:c r="A2" s="3" t="str">
        <x:v>Source change intake</x:v>
      </x:c>
    </x:row>
    <x:row r="3">
      <x:c r="A3" s="2" t="str">
        <x:v>Generated from docs/tracking/registers. Update the CSV register, then regenerate this workbook.</x:v>
      </x:c>
    </x:row>
    <x:row r="5" ht="34" customHeight="1">
      <x:c r="A5" s="15" t="str">
        <x:v>ID</x:v>
      </x:c>
      <x:c r="B5" s="16" t="str">
        <x:v>SourceRepository</x:v>
      </x:c>
      <x:c r="C5" s="16" t="str">
        <x:v>SourceCommit</x:v>
      </x:c>
      <x:c r="D5" s="16" t="str">
        <x:v>SourcePath</x:v>
      </x:c>
      <x:c r="E5" s="16" t="str">
        <x:v>Classification</x:v>
      </x:c>
      <x:c r="F5" s="16" t="str">
        <x:v>Decision</x:v>
      </x:c>
      <x:c r="G5" s="16" t="str">
        <x:v>ProductionItem</x:v>
      </x:c>
      <x:c r="H5" s="16" t="str">
        <x:v>ProductionPR</x:v>
      </x:c>
      <x:c r="I5" s="16" t="str">
        <x:v>ReviewedBy</x:v>
      </x:c>
      <x:c r="J5" s="16" t="str">
        <x:v>ReviewedDate</x:v>
      </x:c>
      <x:c r="K5" s="17" t="str">
        <x:v>Notes</x:v>
      </x:c>
    </x:row>
    <x:row r="6" ht="30" customHeight="1">
      <x:c r="A6" s="25" t="str">
        <x:v>CHG-001</x:v>
      </x:c>
      <x:c r="B6" s="25" t="str">
        <x:v>RohithTadiparti/WOW-MD</x:v>
      </x:c>
      <x:c r="C6" s="25" t="str">
        <x:v>UNCOMMITTED</x:v>
      </x:c>
      <x:c r="D6" s="25" t="str">
        <x:v>mobile/src/app/planner-clients.tsx</x:v>
      </x:c>
      <x:c r="E6" s="25" t="str">
        <x:v>Functional candidate</x:v>
      </x:c>
      <x:c r="F6" s="25" t="str">
        <x:v>Review required</x:v>
      </x:c>
      <x:c r="G6" s="25" t="str">
        <x:v>SYNC-001</x:v>
      </x:c>
      <x:c r="H6" s="25" t="str"/>
      <x:c r="I6" s="25" t="str"/>
      <x:c r="J6" s="28" t="str">
        <x:v>2026-10-04</x:v>
      </x:c>
      <x:c r="K6" s="25" t="str">
        <x:v>Preserved in source working tree and not copied into baseline</x:v>
      </x:c>
    </x:row>
    <x:row r="7" ht="30" customHeight="1">
      <x:c r="A7" s="26" t="str">
        <x:v>CHG-002</x:v>
      </x:c>
      <x:c r="B7" s="26" t="str">
        <x:v>RohithTadiparti/WOW-MD</x:v>
      </x:c>
      <x:c r="C7" s="26" t="str">
        <x:v>UNCOMMITTED</x:v>
      </x:c>
      <x:c r="D7" s="26" t="str">
        <x:v>.gitignore</x:v>
      </x:c>
      <x:c r="E7" s="26" t="str">
        <x:v>Repository hygiene</x:v>
      </x:c>
      <x:c r="F7" s="26" t="str">
        <x:v>Review required</x:v>
      </x:c>
      <x:c r="G7" s="26" t="str">
        <x:v>SYNC-001</x:v>
      </x:c>
      <x:c r="H7" s="26" t="str"/>
      <x:c r="I7" s="26" t="str"/>
      <x:c r="J7" s="29" t="str">
        <x:v>2026-10-04</x:v>
      </x:c>
      <x:c r="K7" s="26" t="str">
        <x:v>Three ignored paths require review before adoption</x:v>
      </x:c>
    </x:row>
    <x:row r="8" ht="30" customHeight="1">
      <x:c r="A8" s="27" t="str">
        <x:v>CHG-003</x:v>
      </x:c>
      <x:c r="B8" s="27" t="str">
        <x:v>RohithTadiparti/WOW-MD</x:v>
      </x:c>
      <x:c r="C8" s="27" t="str">
        <x:v>07218b4..de7d8dd (LOCAL ONLY)</x:v>
      </x:c>
      <x:c r="D8" s="27" t="str">
        <x:v>37 committed paths</x:v>
      </x:c>
      <x:c r="E8" s="27" t="str">
        <x:v>Functional UI candidates</x:v>
      </x:c>
      <x:c r="F8" s="27" t="str">
        <x:v>Await source publication and per-commit review</x:v>
      </x:c>
      <x:c r="G8" s="27" t="str">
        <x:v>SYNC-002</x:v>
      </x:c>
      <x:c r="H8" s="27" t="str">
        <x:v>https://github.com/RohithTadiparti/world-of-weddingz-production/pull/55</x:v>
      </x:c>
      <x:c r="I8" s="27" t="str">
        <x:v>Codex</x:v>
      </x:c>
      <x:c r="J8" s="30" t="str">
        <x:v>2026-10-04</x:v>
      </x:c>
      <x:c r="K8" s="27" t="str">
        <x:v>Local main is 21 commits ahead of origin; scheduled GitHub review intentionally sees pushed commits only</x:v>
      </x:c>
    </x:row>
  </x:sheetData>
  <x:mergeCells>
    <x:mergeCell ref="A3:K3"/>
  </x:mergeCells>
  <x:pageMargins left="0.7" right="0.7" top="0.75" bottom="0.75" header="0.3" footer="0.3"/>
  <x:tableParts count="1">
    <x:tablePart xmlns:r="http://schemas.openxmlformats.org/officeDocument/2006/relationships" r:id="Rd6265706f5e64cf6"/>
  </x:tableParts>
</x:worksheet>
</file>

<file path=xl/worksheets/sheet9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24" hidden="0" customWidth="1"/>
    <x:col min="5" max="5" width="24" hidden="0" customWidth="1"/>
    <x:col min="6" max="6" width="38" hidden="0" customWidth="1"/>
    <x:col min="7" max="7" width="38" hidden="0" customWidth="1"/>
    <x:col min="8" max="8" width="24" hidden="0" customWidth="1"/>
    <x:col min="9" max="9" width="38" hidden="0" customWidth="1"/>
    <x:col min="10" max="10" width="24" hidden="0" customWidth="1"/>
    <x:col min="11" max="11" width="18" hidden="0" customWidth="1"/>
    <x:col min="12" max="12" width="14" hidden="0" customWidth="1"/>
  </x:cols>
  <x:sheetData>
    <x:row r="2">
      <x:c r="A2" s="3" t="str">
        <x:v>Pull request handoffs</x:v>
      </x:c>
    </x:row>
    <x:row r="3">
      <x:c r="A3" s="2" t="str">
        <x:v>Generated from docs/tracking/registers. Update the CSV register, then regenerate this workbook.</x:v>
      </x:c>
    </x:row>
    <x:row r="5" ht="34" customHeight="1">
      <x:c r="A5" s="15" t="str">
        <x:v>WorkItem</x:v>
      </x:c>
      <x:c r="B5" s="16" t="str">
        <x:v>PR</x:v>
      </x:c>
      <x:c r="C5" s="16" t="str">
        <x:v>Branch</x:v>
      </x:c>
      <x:c r="D5" s="16" t="str">
        <x:v>BaseCommit</x:v>
      </x:c>
      <x:c r="E5" s="16" t="str">
        <x:v>HeadCommit</x:v>
      </x:c>
      <x:c r="F5" s="16" t="str">
        <x:v>SourceCommits</x:v>
      </x:c>
      <x:c r="G5" s="16" t="str">
        <x:v>Tests</x:v>
      </x:c>
      <x:c r="H5" s="16" t="str">
        <x:v>Deployment</x:v>
      </x:c>
      <x:c r="I5" s="16" t="str">
        <x:v>Rollback</x:v>
      </x:c>
      <x:c r="J5" s="16" t="str">
        <x:v>ResidualRisks</x:v>
      </x:c>
      <x:c r="K5" s="16" t="str">
        <x:v>Status</x:v>
      </x:c>
      <x:c r="L5" s="17" t="str">
        <x:v>Updated</x:v>
      </x:c>
    </x:row>
    <x:row r="6" ht="30" customHeight="1">
      <x:c r="A6" s="25" t="str">
        <x:v>GOV-002</x:v>
      </x:c>
      <x:c r="B6" s="25" t="str">
        <x:v>https://github.com/RohithTadiparti/world-of-weddingz-production/pull/49</x:v>
      </x:c>
      <x:c r="C6" s="25" t="str">
        <x:v>codex/gov-002-production-program</x:v>
      </x:c>
      <x:c r="D6" s="25" t="str">
        <x:v>1e9f458</x:v>
      </x:c>
      <x:c r="E6" s="25" t="str">
        <x:v>4444b86</x:v>
      </x:c>
      <x:c r="F6" s="25" t="str">
        <x:v>07218b4ab02a8702a4d8d9fdab7dc26e579ab7b4</x:v>
      </x:c>
      <x:c r="G6" s="25" t="str">
        <x:v>Final PR head 4444b86: backend build/test pass; frontend pass; mobile pass; Docker build pass; registers pass; Gitleaks pass; CodeQL JavaScript/TypeScript and Actions pass with 30-day SARIF artifacts; local governance 4/4</x:v>
      </x:c>
      <x:c r="H6" s="25" t="str">
        <x:v>Documentation and governance only; no Railway deployment</x:v>
      </x:c>
      <x:c r="I6" s="25" t="str">
        <x:v>Revert PR 49; bootstrap remains clean source snapshot</x:v>
      </x:c>
      <x:c r="J6" s="25" t="str">
        <x:v>GitHub plan blocks protected private branches native secret scanning and native CodeQL upload; offline SARIF and CI Gitleaks compensate; tracked by GOV-001</x:v>
      </x:c>
      <x:c r="K6" s="25" t="str">
        <x:v>Ready to Merge</x:v>
      </x:c>
      <x:c r="L6" s="28" t="str">
        <x:v>2026-10-04</x:v>
      </x:c>
    </x:row>
    <x:row r="7" ht="30" customHeight="1">
      <x:c r="A7" s="26" t="str">
        <x:v>GOV-001</x:v>
      </x:c>
      <x:c r="B7" s="26" t="str">
        <x:v>https://github.com/RohithTadiparti/world-of-weddingz-production/pull/54</x:v>
      </x:c>
      <x:c r="C7" s="26" t="str">
        <x:v>codex/gov-001-public-protection</x:v>
      </x:c>
      <x:c r="D7" s="26" t="str">
        <x:v>922cfee</x:v>
      </x:c>
      <x:c r="E7" s="26" t="str">
        <x:v>152f4d3</x:v>
      </x:c>
      <x:c r="F7" s="26" t="str"/>
      <x:c r="G7" s="26" t="str">
        <x:v>Final PR head 152f4d3: backend E2E and tests pass; frontend pass; mobile pass; Docker pass; registers pass; Gitleaks pass; native CodeQL JavaScript/TypeScript and Actions pass; seed config 3/3; governance 7/7</x:v>
      </x:c>
      <x:c r="H7" s="26" t="str">
        <x:v>GitHub visibility and protection settings plus repository security configuration; no application deploy</x:v>
      </x:c>
      <x:c r="I7" s="26" t="str">
        <x:v>Change visibility/settings separately and revert PR; never restore fallback credential</x:v>
      </x:c>
      <x:c r="J7" s="26" t="str">
        <x:v>Public source and historical development credential; 83 dependency alerts</x:v>
      </x:c>
      <x:c r="K7" s="26" t="str">
        <x:v>Ready to Merge</x:v>
      </x:c>
      <x:c r="L7" s="29" t="str">
        <x:v>2026-10-04</x:v>
      </x:c>
    </x:row>
    <x:row r="8" ht="30" customHeight="1">
      <x:c r="A8" s="26" t="str">
        <x:v>SEC-001</x:v>
      </x:c>
      <x:c r="B8" s="26" t="str">
        <x:v>https://github.com/RohithTadiparti/world-of-weddingz-production/pull/58</x:v>
      </x:c>
      <x:c r="C8" s="26" t="str">
        <x:v>codex/sec-001-sso-login-policy</x:v>
      </x:c>
      <x:c r="D8" s="26" t="str">
        <x:v>29537ee</x:v>
      </x:c>
      <x:c r="E8" s="26" t="str">
        <x:v>8e7f3e8</x:v>
      </x:c>
      <x:c r="F8" s="26" t="str">
        <x:v>WOW-MD PR 38 head 29ee273</x:v>
      </x:c>
      <x:c r="G8" s="26" t="str">
        <x:v>Backend typecheck and 55 focused auth/config tests pass; frontend typecheck and 173 tests pass; mobile typecheck passes; production and source protected CI application jobs pass</x:v>
      </x:c>
      <x:c r="H8" s="26" t="str">
        <x:v>At the final release gate configure exact Zoho OAuth client/callback domain SPF DKIM DMARC sender mailbox and SMTP application password; then run controlled admin/non-admin SSO and email tests</x:v>
      </x:c>
      <x:c r="I8" s="26" t="str">
        <x:v>Restore the prior image/config and disable Zoho SSO; do not enable passwordless OTP or log-based mail in public tier</x:v>
      </x:c>
      <x:c r="J8" s="26" t="str">
        <x:v>Production Zoho credentials/DNS and live-provider evidence are intentionally deferred; the aggregate CodeQL status on production PR is failing despite both analysis jobs passing and needs repository-level triage</x:v>
      </x:c>
      <x:c r="K8" s="26" t="str">
        <x:v>PR Open</x:v>
      </x:c>
      <x:c r="L8" s="29" t="str">
        <x:v>2026-10-05</x:v>
      </x:c>
    </x:row>
    <x:row r="9" ht="30" customHeight="1">
      <x:c r="A9" s="26" t="str">
        <x:v>SYNC-002</x:v>
      </x:c>
      <x:c r="B9" s="26" t="str">
        <x:v>https://github.com/RohithTadiparti/world-of-weddingz-production/pull/55</x:v>
      </x:c>
      <x:c r="C9" s="26" t="str">
        <x:v>codex/sync-002-gated-source-review</x:v>
      </x:c>
      <x:c r="D9" s="26" t="str">
        <x:v>57e13d0</x:v>
      </x:c>
      <x:c r="E9" s="26" t="str">
        <x:v>422cbc4</x:v>
      </x:c>
      <x:c r="F9" s="26" t="str">
        <x:v>07218b4..de7d8dd local review only</x:v>
      </x:c>
      <x:c r="G9" s="26" t="str">
        <x:v>Protected PR checks passed: build-and-test frontend mobile docker-build registers secrets CodeQL JavaScript/TypeScript and Actions; local source report found 21 commits and 37 paths with zero dependency or unsafe paths</x:v>
      </x:c>
      <x:c r="H9" s="26" t="str">
        <x:v>Add read-only WOW_SYNC_TOKEN then run the scheduled workflow once; no application or hosting deployment</x:v>
      </x:c>
      <x:c r="I9" s="26" t="str">
        <x:v>Revert PR 55 and remove WOW_SYNC_TOKEN; source and production histories remain unchanged</x:v>
      </x:c>
      <x:c r="J9" s="26" t="str">
        <x:v>Private-source token is not configured; local/unpushed source commits remain intentionally invisible to GitHub Actions</x:v>
      </x:c>
      <x:c r="K9" s="26" t="str">
        <x:v>Blocked</x:v>
      </x:c>
      <x:c r="L9" s="29" t="str">
        <x:v>2026-10-04</x:v>
      </x:c>
    </x:row>
    <x:row r="10" ht="30" customHeight="1">
      <x:c r="A10" s="26" t="str">
        <x:v>DEP-001</x:v>
      </x:c>
      <x:c r="B10" s="26" t="str">
        <x:v>https://github.com/RohithTadiparti/world-of-weddingz-production/pull/59</x:v>
      </x:c>
      <x:c r="C10" s="26" t="str">
        <x:v>codex/dep-001-dependency-remediation</x:v>
      </x:c>
      <x:c r="D10" s="26" t="str">
        <x:v>29537ee</x:v>
      </x:c>
      <x:c r="E10" s="26" t="str">
        <x:v>1ecbfdf</x:v>
      </x:c>
      <x:c r="F10" s="26" t="str">
        <x:v>WOW-MD PR 39 head d8ef995</x:v>
      </x:c>
      <x:c r="G10" s="26" t="str">
        <x:v>Backend clean install typecheck lint build and 792 tests pass with 9 skipped; frontend clean install typecheck 173 tests build and 10 Playwright flows pass; runtime audits: backend 0 critical/0 high frontend 0; exact-ID mobile gate passes; production and source protected CI pass</x:v>
      </x:c>
      <x:c r="H10" s="26" t="str">
        <x:v>No deployment before review and merge; after merge let GitHub rescan manifests and confirm alert counts and audit gates on main</x:v>
      </x:c>
      <x:c r="I10" s="26" t="str">
        <x:v>Revert PR 59; restore prior lockfiles and packages; retain the audit report for comparison</x:v>
      </x:c>
      <x:c r="J10" s="26" t="str">
        <x:v>Backend moderate/low build-tool advisories and four exact no-fix Expo advisory roots remain; forced NestJS 12 and Expo downgrades were tested and rejected as unsafe</x:v>
      </x:c>
      <x:c r="K10" s="26" t="str">
        <x:v>PR Open</x:v>
      </x:c>
      <x:c r="L10" s="29" t="str">
        <x:v>2026-10-05</x:v>
      </x:c>
    </x:row>
    <x:row r="11" ht="30" customHeight="1">
      <x:c r="A11" s="27" t="str">
        <x:v>GOV-003</x:v>
      </x:c>
      <x:c r="B11" s="27" t="str">
        <x:v>https://github.com/RohithTadiparti/world-of-weddingz-production/pull/61</x:v>
      </x:c>
      <x:c r="C11" s="27" t="str">
        <x:v>codex/gov-003-auth-dependency-tracking</x:v>
      </x:c>
      <x:c r="D11" s="27" t="str">
        <x:v>29537ee</x:v>
      </x:c>
      <x:c r="E11" s="27" t="str">
        <x:v>1235cd3</x:v>
      </x:c>
      <x:c r="F11" s="27" t="str">
        <x:v>SEC-001 PR 58 and DEP-001 PR 59 evidence only</x:v>
      </x:c>
      <x:c r="G11" s="27" t="str">
        <x:v>Register validator workbook regeneration and formula-error scan pass; dashboard visually reviewed</x:v>
      </x:c>
      <x:c r="H11" s="27" t="str">
        <x:v>Governance and documentation only; no application or hosting deployment</x:v>
      </x:c>
      <x:c r="I11" s="27" t="str">
        <x:v>Revert PR 61; implementation PRs and their evidence remain unchanged</x:v>
      </x:c>
      <x:c r="J11" s="27" t="str">
        <x:v>Implementation PRs still require review/merge and GitHub rescan; Zoho live configuration remains a final release gate</x:v>
      </x:c>
      <x:c r="K11" s="27" t="str">
        <x:v>PR Open</x:v>
      </x:c>
      <x:c r="L11" s="30" t="str">
        <x:v>2026-10-05</x:v>
      </x:c>
    </x:row>
  </x:sheetData>
  <x:mergeCells>
    <x:mergeCell ref="A3:L3"/>
  </x:mergeCells>
  <x:conditionalFormatting sqref="K6:K11">
    <x:cfRule type="containsText" dxfId="28" priority="1" operator="containsText" text="Open"/>
    <x:cfRule type="containsText" dxfId="29" priority="2" operator="containsText" text="In Progress"/>
    <x:cfRule type="containsText" dxfId="30" priority="3" operator="containsText" text="Blocked"/>
    <x:cfRule type="containsText" dxfId="31" priority="4" operator="containsText" text="Done"/>
    <x:cfRule type="containsText" dxfId="32" priority="5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5ffc57c8e9794182"/>
  </x:tableParts>
</x:worksheet>
</file>

<file path=xl/worksheets/sheet10.xml><?xml version="1.0" encoding="utf-8"?>
<x:worksheet xmlns:x="http://schemas.openxmlformats.org/spreadsheetml/2006/main">
  <x:sheetPr>
    <x:tabColor rgb="FFA9832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3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</x:cols>
  <x:sheetData>
    <x:row r="2">
      <x:c r="A2" s="3" t="str">
        <x:v>Document register</x:v>
      </x:c>
    </x:row>
    <x:row r="3">
      <x:c r="A3" s="2" t="str">
        <x:v>Generated from docs/tracking/registers. Update the CSV register, then regenerate this workbook.</x:v>
      </x:c>
    </x:row>
    <x:row r="5" ht="34" customHeight="1">
      <x:c r="A5" s="15" t="str">
        <x:v>ID</x:v>
      </x:c>
      <x:c r="B5" s="16" t="str">
        <x:v>Document</x:v>
      </x:c>
      <x:c r="C5" s="16" t="str">
        <x:v>Path</x:v>
      </x:c>
      <x:c r="D5" s="16" t="str">
        <x:v>Owner</x:v>
      </x:c>
      <x:c r="E5" s="16" t="str">
        <x:v>Status</x:v>
      </x:c>
      <x:c r="F5" s="16" t="str">
        <x:v>ReviewCadence</x:v>
      </x:c>
      <x:c r="G5" s="16" t="str">
        <x:v>LastReviewed</x:v>
      </x:c>
      <x:c r="H5" s="17" t="str">
        <x:v>RelatedItems</x:v>
      </x:c>
    </x:row>
    <x:row r="6" ht="30" customHeight="1">
      <x:c r="A6" s="25" t="str">
        <x:v>DOC-001</x:v>
      </x:c>
      <x:c r="B6" s="25" t="str">
        <x:v>Production program</x:v>
      </x:c>
      <x:c r="C6" s="25" t="str">
        <x:v>PRODUCTION_PROGRAM.md</x:v>
      </x:c>
      <x:c r="D6" s="25" t="str">
        <x:v>Product and engineering</x:v>
      </x:c>
      <x:c r="E6" s="25" t="str">
        <x:v>Active</x:v>
      </x:c>
      <x:c r="F6" s="25" t="str">
        <x:v>Each release</x:v>
      </x:c>
      <x:c r="G6" s="25" t="str">
        <x:v>2026-10-04</x:v>
      </x:c>
      <x:c r="H6" s="25" t="str">
        <x:v>All</x:v>
      </x:c>
    </x:row>
    <x:row r="7" ht="30" customHeight="1">
      <x:c r="A7" s="26" t="str">
        <x:v>DOC-002</x:v>
      </x:c>
      <x:c r="B7" s="26" t="str">
        <x:v>Knowledge matrix index</x:v>
      </x:c>
      <x:c r="C7" s="26" t="str">
        <x:v>docs/knowledge-matrix/README.md</x:v>
      </x:c>
      <x:c r="D7" s="26" t="str">
        <x:v>Engineering</x:v>
      </x:c>
      <x:c r="E7" s="26" t="str">
        <x:v>Active</x:v>
      </x:c>
      <x:c r="F7" s="26" t="str">
        <x:v>Monthly</x:v>
      </x:c>
      <x:c r="G7" s="26" t="str">
        <x:v>2026-10-04</x:v>
      </x:c>
      <x:c r="H7" s="26" t="str">
        <x:v>GOV-002</x:v>
      </x:c>
    </x:row>
    <x:row r="8" ht="30" customHeight="1">
      <x:c r="A8" s="26" t="str">
        <x:v>DOC-003</x:v>
      </x:c>
      <x:c r="B8" s="26" t="str">
        <x:v>SDLC operating model</x:v>
      </x:c>
      <x:c r="C8" s="26" t="str">
        <x:v>docs/knowledge-matrix/sdlc.md</x:v>
      </x:c>
      <x:c r="D8" s="26" t="str">
        <x:v>Engineering</x:v>
      </x:c>
      <x:c r="E8" s="26" t="str">
        <x:v>Active</x:v>
      </x:c>
      <x:c r="F8" s="26" t="str">
        <x:v>Quarterly</x:v>
      </x:c>
      <x:c r="G8" s="26" t="str">
        <x:v>2026-10-04</x:v>
      </x:c>
      <x:c r="H8" s="26" t="str">
        <x:v>GOV-002</x:v>
      </x:c>
    </x:row>
    <x:row r="9" ht="30" customHeight="1">
      <x:c r="A9" s="26" t="str">
        <x:v>DOC-004</x:v>
      </x:c>
      <x:c r="B9" s="26" t="str">
        <x:v>Account and access matrix</x:v>
      </x:c>
      <x:c r="C9" s="26" t="str">
        <x:v>docs/knowledge-matrix/access-matrix.md</x:v>
      </x:c>
      <x:c r="D9" s="26" t="str">
        <x:v>Security and operations</x:v>
      </x:c>
      <x:c r="E9" s="26" t="str">
        <x:v>Draft</x:v>
      </x:c>
      <x:c r="F9" s="26" t="str">
        <x:v>Monthly</x:v>
      </x:c>
      <x:c r="G9" s="26" t="str">
        <x:v>2026-10-04</x:v>
      </x:c>
      <x:c r="H9" s="26" t="str">
        <x:v>GOV-001</x:v>
      </x:c>
    </x:row>
    <x:row r="10" ht="30" customHeight="1">
      <x:c r="A10" s="26" t="str">
        <x:v>DOC-005</x:v>
      </x:c>
      <x:c r="B10" s="26" t="str">
        <x:v>Test strategy</x:v>
      </x:c>
      <x:c r="C10" s="26" t="str">
        <x:v>docs/knowledge-matrix/test-strategy.md</x:v>
      </x:c>
      <x:c r="D10" s="26" t="str">
        <x:v>Quality</x:v>
      </x:c>
      <x:c r="E10" s="26" t="str">
        <x:v>Active</x:v>
      </x:c>
      <x:c r="F10" s="26" t="str">
        <x:v>Each release</x:v>
      </x:c>
      <x:c r="G10" s="26" t="str">
        <x:v>2026-10-04</x:v>
      </x:c>
      <x:c r="H10" s="26" t="str">
        <x:v>QA-001 QA-002 QA-003</x:v>
      </x:c>
    </x:row>
    <x:row r="11" ht="30" customHeight="1">
      <x:c r="A11" s="26" t="str">
        <x:v>DOC-006</x:v>
      </x:c>
      <x:c r="B11" s="26" t="str">
        <x:v>Railway and AWS migration design</x:v>
      </x:c>
      <x:c r="C11" s="26" t="str">
        <x:v>docs/superpowers/specs/2026-10-04-railway-first-aws-migration-design.md</x:v>
      </x:c>
      <x:c r="D11" s="26" t="str">
        <x:v>Architecture</x:v>
      </x:c>
      <x:c r="E11" s="26" t="str">
        <x:v>Draft</x:v>
      </x:c>
      <x:c r="F11" s="26" t="str">
        <x:v>On decision change</x:v>
      </x:c>
      <x:c r="G11" s="26" t="str">
        <x:v>2026-10-04</x:v>
      </x:c>
      <x:c r="H11" s="26" t="str">
        <x:v>REL-001 REL-002</x:v>
      </x:c>
    </x:row>
    <x:row r="12" ht="30" customHeight="1">
      <x:c r="A12" s="26" t="str">
        <x:v>DOC-007</x:v>
      </x:c>
      <x:c r="B12" s="26" t="str">
        <x:v>Implementation plan</x:v>
      </x:c>
      <x:c r="C12" s="26" t="str">
        <x:v>docs/superpowers/plans/2026-10-04-railway-first-aws-migration.md</x:v>
      </x:c>
      <x:c r="D12" s="26" t="str">
        <x:v>Engineering</x:v>
      </x:c>
      <x:c r="E12" s="26" t="str">
        <x:v>Active</x:v>
      </x:c>
      <x:c r="F12" s="26" t="str">
        <x:v>Weekly</x:v>
      </x:c>
      <x:c r="G12" s="26" t="str">
        <x:v>2026-10-04</x:v>
      </x:c>
      <x:c r="H12" s="26" t="str">
        <x:v>All</x:v>
      </x:c>
    </x:row>
    <x:row r="13" ht="30" customHeight="1">
      <x:c r="A13" s="26" t="str">
        <x:v>DOC-008</x:v>
      </x:c>
      <x:c r="B13" s="26" t="str">
        <x:v>Task and PR handoff protocol</x:v>
      </x:c>
      <x:c r="C13" s="26" t="str">
        <x:v>docs/governance/LLM_TASK_PROTOCOL.md</x:v>
      </x:c>
      <x:c r="D13" s="26" t="str">
        <x:v>Engineering</x:v>
      </x:c>
      <x:c r="E13" s="26" t="str">
        <x:v>Active</x:v>
      </x:c>
      <x:c r="F13" s="26" t="str">
        <x:v>Quarterly</x:v>
      </x:c>
      <x:c r="G13" s="26" t="str">
        <x:v>2026-10-04</x:v>
      </x:c>
      <x:c r="H13" s="26" t="str">
        <x:v>GOV-002</x:v>
      </x:c>
    </x:row>
    <x:row r="14" ht="30" customHeight="1">
      <x:c r="A14" s="26" t="str">
        <x:v>DOC-009</x:v>
      </x:c>
      <x:c r="B14" s="26" t="str">
        <x:v>Source integration process</x:v>
      </x:c>
      <x:c r="C14" s="26" t="str">
        <x:v>docs/governance/source-integration.md</x:v>
      </x:c>
      <x:c r="D14" s="26" t="str">
        <x:v>Release engineering</x:v>
      </x:c>
      <x:c r="E14" s="26" t="str">
        <x:v>Active</x:v>
      </x:c>
      <x:c r="F14" s="26" t="str">
        <x:v>Each source review</x:v>
      </x:c>
      <x:c r="G14" s="26" t="str">
        <x:v>2026-10-04</x:v>
      </x:c>
      <x:c r="H14" s="26" t="str">
        <x:v>SYNC-001 SYNC-002</x:v>
      </x:c>
    </x:row>
    <x:row r="15" ht="30" customHeight="1">
      <x:c r="A15" s="26" t="str">
        <x:v>DOC-010</x:v>
      </x:c>
      <x:c r="B15" s="26" t="str">
        <x:v>Contributing rules</x:v>
      </x:c>
      <x:c r="C15" s="26" t="str">
        <x:v>docs/governance/CONTRIBUTING.md</x:v>
      </x:c>
      <x:c r="D15" s="26" t="str">
        <x:v>Engineering</x:v>
      </x:c>
      <x:c r="E15" s="26" t="str">
        <x:v>Active</x:v>
      </x:c>
      <x:c r="F15" s="26" t="str">
        <x:v>Quarterly</x:v>
      </x:c>
      <x:c r="G15" s="26" t="str">
        <x:v>2026-10-04</x:v>
      </x:c>
      <x:c r="H15" s="26" t="str">
        <x:v>GOV-001</x:v>
      </x:c>
    </x:row>
    <x:row r="16" ht="30" customHeight="1">
      <x:c r="A16" s="26" t="str">
        <x:v>DOC-011</x:v>
      </x:c>
      <x:c r="B16" s="26" t="str">
        <x:v>Baseline QA evidence</x:v>
      </x:c>
      <x:c r="C16" s="26" t="str">
        <x:v>docs/evidence/qa/WOW_End_to_End_QA_Report_2026-10-04.xlsx</x:v>
      </x:c>
      <x:c r="D16" s="26" t="str">
        <x:v>Quality</x:v>
      </x:c>
      <x:c r="E16" s="26" t="str">
        <x:v>Baseline</x:v>
      </x:c>
      <x:c r="F16" s="26" t="str">
        <x:v>Immutable</x:v>
      </x:c>
      <x:c r="G16" s="26" t="str">
        <x:v>2026-10-04</x:v>
      </x:c>
      <x:c r="H16" s="26" t="str">
        <x:v>QA-004 REL-003</x:v>
      </x:c>
    </x:row>
    <x:row r="17" ht="30" customHeight="1">
      <x:c r="A17" s="26" t="str">
        <x:v>DOC-012</x:v>
      </x:c>
      <x:c r="B17" s="26" t="str">
        <x:v>Production tracking workbook</x:v>
      </x:c>
      <x:c r="C17" s="26" t="str">
        <x:v>docs/tracking/production-readiness-tracker.xlsx</x:v>
      </x:c>
      <x:c r="D17" s="26" t="str">
        <x:v>Program management</x:v>
      </x:c>
      <x:c r="E17" s="26" t="str">
        <x:v>Generated</x:v>
      </x:c>
      <x:c r="F17" s="26" t="str">
        <x:v>Each change</x:v>
      </x:c>
      <x:c r="G17" s="26" t="str">
        <x:v>2026-10-04</x:v>
      </x:c>
      <x:c r="H17" s="26" t="str">
        <x:v>GOV-002</x:v>
      </x:c>
    </x:row>
    <x:row r="18" ht="30" customHeight="1">
      <x:c r="A18" s="26" t="str">
        <x:v>DOC-013</x:v>
      </x:c>
      <x:c r="B18" s="26" t="str">
        <x:v>Gated source synchronization plan</x:v>
      </x:c>
      <x:c r="C18" s="26" t="str">
        <x:v>docs/superpowers/plans/2026-10-04-gated-source-synchronization.md</x:v>
      </x:c>
      <x:c r="D18" s="26" t="str">
        <x:v>Release engineering</x:v>
      </x:c>
      <x:c r="E18" s="26" t="str">
        <x:v>Active</x:v>
      </x:c>
      <x:c r="F18" s="26" t="str">
        <x:v>On synchronization policy change</x:v>
      </x:c>
      <x:c r="G18" s="26" t="str">
        <x:v>2026-10-04</x:v>
      </x:c>
      <x:c r="H18" s="26" t="str">
        <x:v>SYNC-002</x:v>
      </x:c>
    </x:row>
    <x:row r="19" ht="30" customHeight="1">
      <x:c r="A19" s="26" t="str">
        <x:v>DOC-014</x:v>
      </x:c>
      <x:c r="B19" s="26" t="str">
        <x:v>SEC-001 implementation plan</x:v>
      </x:c>
      <x:c r="C19" s="26" t="str">
        <x:v>docs/superpowers/plans/2026-10-04-sec-001-admin-mfa-provider-policy.md</x:v>
      </x:c>
      <x:c r="D19" s="26" t="str">
        <x:v>Security</x:v>
      </x:c>
      <x:c r="E19" s="26" t="str">
        <x:v>Active</x:v>
      </x:c>
      <x:c r="F19" s="26" t="str">
        <x:v>On authentication/provider policy change</x:v>
      </x:c>
      <x:c r="G19" s="26" t="str">
        <x:v>2026-10-04</x:v>
      </x:c>
      <x:c r="H19" s="26" t="str">
        <x:v>SEC-001</x:v>
      </x:c>
    </x:row>
    <x:row r="20" ht="30" customHeight="1">
      <x:c r="A20" s="26" t="str">
        <x:v>DOC-015</x:v>
      </x:c>
      <x:c r="B20" s="26" t="str">
        <x:v>Zoho SSO and mail operating guide</x:v>
      </x:c>
      <x:c r="C20" s="26" t="str">
        <x:v>docs/operations/zoho-mail.md</x:v>
      </x:c>
      <x:c r="D20" s="26" t="str">
        <x:v>Security and operations</x:v>
      </x:c>
      <x:c r="E20" s="26" t="str">
        <x:v>Approved candidate</x:v>
      </x:c>
      <x:c r="F20" s="26" t="str">
        <x:v>Quarterly or provider change</x:v>
      </x:c>
      <x:c r="G20" s="26" t="str">
        <x:v>2026-10-05</x:v>
      </x:c>
      <x:c r="H20" s="26" t="str">
        <x:v>SEC-001 AUTH-001 OPS-003</x:v>
      </x:c>
    </x:row>
    <x:row r="21" ht="30" customHeight="1">
      <x:c r="A21" s="27" t="str">
        <x:v>DOC-016</x:v>
      </x:c>
      <x:c r="B21" s="27" t="str">
        <x:v>Dependency remediation record</x:v>
      </x:c>
      <x:c r="C21" s="27" t="str">
        <x:v>docs/security/dependency-remediation-2026-10-04.md</x:v>
      </x:c>
      <x:c r="D21" s="27" t="str">
        <x:v>Security</x:v>
      </x:c>
      <x:c r="E21" s="27" t="str">
        <x:v>Approved candidate</x:v>
      </x:c>
      <x:c r="F21" s="27" t="str">
        <x:v>Each dependency change</x:v>
      </x:c>
      <x:c r="G21" s="27" t="str">
        <x:v>2026-10-05</x:v>
      </x:c>
      <x:c r="H21" s="27" t="str">
        <x:v>DEP-001</x:v>
      </x:c>
    </x:row>
  </x:sheetData>
  <x:mergeCells>
    <x:mergeCell ref="A3:H3"/>
  </x:mergeCells>
  <x:conditionalFormatting sqref="E6:E21">
    <x:cfRule type="containsText" dxfId="33" priority="1" operator="containsText" text="Open"/>
    <x:cfRule type="containsText" dxfId="34" priority="2" operator="containsText" text="In Progress"/>
    <x:cfRule type="containsText" dxfId="35" priority="3" operator="containsText" text="Blocked"/>
    <x:cfRule type="containsText" dxfId="36" priority="4" operator="containsText" text="Done"/>
    <x:cfRule type="containsText" dxfId="37" priority="5" operator="containsText" text="Complete"/>
  </x:conditionalFormatting>
  <x:pageMargins left="0.7" right="0.7" top="0.75" bottom="0.75" header="0.3" footer="0.3"/>
  <x:tableParts count="1">
    <x:tablePart xmlns:r="http://schemas.openxmlformats.org/officeDocument/2006/relationships" r:id="R23d59974171549a0"/>
  </x:tableParts>
</x:worksheet>
</file>