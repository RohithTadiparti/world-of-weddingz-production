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e1af63bdf14d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72375fef45a4c15"/>
    <x:sheet xmlns:r="http://schemas.openxmlformats.org/officeDocument/2006/relationships" name="Open Items" sheetId="2" r:id="R74e1c5a6b6054d7c"/>
    <x:sheet xmlns:r="http://schemas.openxmlformats.org/officeDocument/2006/relationships" name="Requirements" sheetId="3" r:id="Rda48b0bc970f474d"/>
    <x:sheet xmlns:r="http://schemas.openxmlformats.org/officeDocument/2006/relationships" name="Test Inventory" sheetId="4" r:id="R9e9b401f03bf41a6"/>
    <x:sheet xmlns:r="http://schemas.openxmlformats.org/officeDocument/2006/relationships" name="Risks" sheetId="5" r:id="R413b7e69c7f34a8f"/>
    <x:sheet xmlns:r="http://schemas.openxmlformats.org/officeDocument/2006/relationships" name="Access" sheetId="6" r:id="R5ca11344152442c0"/>
    <x:sheet xmlns:r="http://schemas.openxmlformats.org/officeDocument/2006/relationships" name="Release Gates" sheetId="7" r:id="Rad529d7daee24f64"/>
    <x:sheet xmlns:r="http://schemas.openxmlformats.org/officeDocument/2006/relationships" name="Change Intake" sheetId="8" r:id="Rab67fcd281eb458a"/>
    <x:sheet xmlns:r="http://schemas.openxmlformats.org/officeDocument/2006/relationships" name="PR Handoffs" sheetId="9" r:id="R1363de0fec5e4d3f"/>
    <x:sheet xmlns:r="http://schemas.openxmlformats.org/officeDocument/2006/relationships" name="Documents" sheetId="10" r:id="R466a400e38ba4e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7ba9fd7d314ce9" /><Relationship Type="http://schemas.openxmlformats.org/officeDocument/2006/relationships/theme" Target="/xl/theme/theme1.xml" Id="Rd049915bbc124cb4" /><Relationship Type="http://schemas.openxmlformats.org/officeDocument/2006/relationships/sharedStrings" Target="/xl/sharedStrings.xml" Id="Rd3fe981425bc47d2" /><Relationship Type="http://schemas.openxmlformats.org/officeDocument/2006/relationships/worksheet" Target="/xl/worksheets/sheet1.xml" Id="R872375fef45a4c15" /><Relationship Type="http://schemas.openxmlformats.org/officeDocument/2006/relationships/worksheet" Target="/xl/worksheets/sheet2.xml" Id="R74e1c5a6b6054d7c" /><Relationship Type="http://schemas.openxmlformats.org/officeDocument/2006/relationships/worksheet" Target="/xl/worksheets/sheet3.xml" Id="Rda48b0bc970f474d" /><Relationship Type="http://schemas.openxmlformats.org/officeDocument/2006/relationships/worksheet" Target="/xl/worksheets/sheet4.xml" Id="R9e9b401f03bf41a6" /><Relationship Type="http://schemas.openxmlformats.org/officeDocument/2006/relationships/worksheet" Target="/xl/worksheets/sheet5.xml" Id="R413b7e69c7f34a8f" /><Relationship Type="http://schemas.openxmlformats.org/officeDocument/2006/relationships/worksheet" Target="/xl/worksheets/sheet6.xml" Id="R5ca11344152442c0" /><Relationship Type="http://schemas.openxmlformats.org/officeDocument/2006/relationships/worksheet" Target="/xl/worksheets/sheet7.xml" Id="Rad529d7daee24f64" /><Relationship Type="http://schemas.openxmlformats.org/officeDocument/2006/relationships/worksheet" Target="/xl/worksheets/sheet8.xml" Id="Rab67fcd281eb458a" /><Relationship Type="http://schemas.openxmlformats.org/officeDocument/2006/relationships/worksheet" Target="/xl/worksheets/sheet9.xml" Id="R1363de0fec5e4d3f" /><Relationship Type="http://schemas.openxmlformats.org/officeDocument/2006/relationships/worksheet" Target="/xl/worksheets/sheet10.xml" Id="R466a400e38ba4e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9d78fa033343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9d78fa033343f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3a256d09a3f46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6b7996ecc534f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c6cd28a667449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d448fc75404e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aa44f17600a4d1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294d632ba6040b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55f20522930470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0363bcee4c84e9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8f77c6222d41b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590220a4ebb4046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34</x:v>
      </x:c>
      <x:c r="D6" s="33" t="str">
        <x:v>P0 items not done</x:v>
      </x:c>
      <x:c r="E6" s="34" t="n">
        <x:f>COUNTIFS('Open Items'!$E$6:$E$38,"P0",'Open Items'!$F$6:$F$38,"&lt;&gt;Done")</x:f>
        <x:v>12</x:v>
      </x:c>
      <x:c r="G6" s="39" t="str">
        <x:v>Open</x:v>
      </x:c>
      <x:c r="H6" s="39" t="n">
        <x:v>21</x:v>
      </x:c>
    </x:row>
    <x:row r="7">
      <x:c r="A7" s="33" t="str">
        <x:v>Open</x:v>
      </x:c>
      <x:c r="B7" s="34" t="n"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11</x:v>
      </x:c>
    </x:row>
    <x:row r="11">
      <x:c r="A11" s="33" t="str">
        <x:v>Done</x:v>
      </x:c>
      <x:c r="B11" s="34" t="n">
        <x:v>11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d3a256d09a3f4604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 t="str">
        <x:v>SYNC-003</x:v>
      </x:c>
      <x:c r="B39" t="str">
        <x:v>Integrate committed immersive consumer UI</x:v>
      </x:c>
      <x:c r="C39" t="str">
        <x:v>Source intake</x:v>
      </x:c>
      <x:c r="D39" t="str">
        <x:v>UI/UX synchronization</x:v>
      </x:c>
      <x:c r="E39" t="str">
        <x:v>P0</x:v>
      </x:c>
      <x:c r="F39" s="51" t="str">
        <x:v>PR Open</x:v>
      </x:c>
      <x:c r="G39" t="str">
        <x:v>Codex</x:v>
      </x:c>
      <x:c r="H39" t="str">
        <x:v>SYNC-002</x:v>
      </x:c>
      <x:c r="I39" t="str">
        <x:v>Committed public login registration and consumer portal UI is present in WOW-MD and production without overwriting production hardening</x:v>
      </x:c>
      <x:c r="J39" t="str">
        <x:v>WOW-MD PR 50 and production issue 76</x:v>
      </x:c>
      <x:c r="K39" t="str">
        <x:v>https://github.com/RohithTadiparti/world-of-weddingz-production/issues/76</x:v>
      </x:c>
      <x:c r="L39" t="str">
        <x:v>https://github.com/RohithTadiparti/world-of-weddingz-production/pull/77</x:v>
      </x:c>
      <x:c r="M39" t="str">
        <x:v>2026-10-06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6b7996ecc534f40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c6cd28a6674496c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dbd448fc75404e18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aa44f17600a4d10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294d632ba6040b2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55f205229304700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  <x:row r="9">
      <x:c r="A9" s="27" t="str">
        <x:v>CHG-004</x:v>
      </x:c>
      <x:c r="B9" s="27" t="str">
        <x:v>RohithTadiparti/WOW-MD</x:v>
      </x:c>
      <x:c r="C9" s="27" t="str">
        <x:v>2ddfaf6b6d55d3e4833f905565d5048f3cd9c010</x:v>
      </x:c>
      <x:c r="D9" s="27" t="str">
        <x:v>frontend/ (40 paths)</x:v>
      </x:c>
      <x:c r="E9" s="27" t="str">
        <x:v>UI/UX and tests</x:v>
      </x:c>
      <x:c r="F9" s="27" t="str">
        <x:v>Accepted</x:v>
      </x:c>
      <x:c r="G9" s="27" t="str">
        <x:v>SYNC-003</x:v>
      </x:c>
      <x:c r="H9" s="27" t="str">
        <x:v>https://github.com/RohithTadiparti/world-of-weddingz-production/pull/77</x:v>
      </x:c>
      <x:c r="I9" s="27" t="str">
        <x:v>Codex</x:v>
      </x:c>
      <x:c r="J9" s="30" t="str">
        <x:v>2026-10-06</x:v>
      </x:c>
      <x:c r="K9" s="27" t="str">
        <x:v>WOW-MD PR 50 published the reviewed 07218b4..8a147a6 UI line; production accepts only the reconciled frontend paths</x:v>
      </x:c>
    </x:row>
    <x:row r="10">
      <x:c r="A10" s="27" t="str">
        <x:v>CHG-005</x:v>
      </x:c>
      <x:c r="B10" s="27" t="str">
        <x:v>RohithTadiparti/WOW-MD</x:v>
      </x:c>
      <x:c r="C10" s="27" t="str">
        <x:v>2ddfaf6b6d55d3e4833f905565d5048f3cd9c010</x:v>
      </x:c>
      <x:c r="D10" s="27" t="str">
        <x:v>docker/docker-compose.preview.yml; docs/wow-consumer-portal-design-preview.html</x:v>
      </x:c>
      <x:c r="E10" s="27" t="str">
        <x:v>Preview-only source artifacts</x:v>
      </x:c>
      <x:c r="F10" s="27" t="str">
        <x:v>Rejected for production</x:v>
      </x:c>
      <x:c r="G10" s="27" t="str">
        <x:v>SYNC-003</x:v>
      </x:c>
      <x:c r="H10" s="27" t="str">
        <x:v>https://github.com/RohithTadiparti/world-of-weddingz-production/pull/77</x:v>
      </x:c>
      <x:c r="I10" s="27" t="str">
        <x:v>Codex</x:v>
      </x:c>
      <x:c r="J10" s="30" t="str">
        <x:v>2026-10-06</x:v>
      </x:c>
      <x:c r="K10" s="27" t="str">
        <x:v>Remain in WOW-MD for design preview use; not part of the production deployment line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90363bcee4c84e92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</x:v>
      </x:c>
      <x:c r="G10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t="str">
        <x:v>No deployment before review and merge; after merge let GitHub rescan manifests and confirm alert counts and audit gates on main</x:v>
      </x:c>
      <x:c r="I10" t="str">
        <x:v>Revert PR 59; restore prior lockfiles and packages; retain the audit report for comparison</x:v>
      </x:c>
      <x:c r="J10" t="str">
        <x:v>Backend moderate/low build-tool advisories and four exact no-fix Expo advisory roots remain; forced NestJS 12 and Expo downgrades were tested and rejected as unsafe</x:v>
      </x:c>
      <x:c r="K10" s="75" t="str">
        <x:v>Merged</x:v>
      </x:c>
      <x:c r="L10" t="str">
        <x:v>2026-10-05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 t="str">
        <x:v>OBS-003</x:v>
      </x:c>
      <x:c r="B16" t="str">
        <x:v>https://github.com/RohithTadiparti/world-of-weddingz-production/pull/71</x:v>
      </x:c>
      <x:c r="C16" t="str">
        <x:v>codex/obs-003-local-log-platform</x:v>
      </x:c>
      <x:c r="D16" t="str">
        <x:v>dd39ccc</x:v>
      </x:c>
      <x:c r="E16" t="str">
        <x:v>0d1e02f</x:v>
      </x:c>
      <x:c r="F16" t="str">
        <x:v>WOW-MD PR 48 merged as 7384378</x:v>
      </x:c>
      <x:c r="G16" t="str">
        <x:v>Collector and Loki configuration; Grafana provisioning; retention sandbox; Compose validation; live JSONL and Loki lookup; secret canaries; exact labels; seven alerts; Loki buffer recovery; frontend restart persistence all pass</x:v>
      </x:c>
      <x:c r="H16" t="str">
        <x:v>Set WOW_LOG_DIR and a unique GRAFANA_ADMIN_PASSWORD; start the observability Compose profile; Grafana binds to 127.0.0.1:3300</x:v>
      </x:c>
      <x:c r="I16" t="str">
        <x:v>Stop/remove observability containers and revert PR 71; retained host logs are not automatically deleted; application services remain independent</x:v>
      </x:c>
      <x:c r="J16" t="str">
        <x:v>Single-host logs are not disaster recovery; Vector outage has bounded Docker fallback and no guaranteed backfill; remote Loki and external alert recipients remain operator configuration</x:v>
      </x:c>
      <x:c r="K16" t="str">
        <x:v>Merged</x:v>
      </x:c>
      <x:c r="L16" t="str">
        <x:v>2026-10-06</x:v>
      </x:c>
    </x:row>
    <x:row r="17">
      <x:c r="A17" t="str">
        <x:v>CFG-001</x:v>
      </x:c>
      <x:c r="B17" t="str">
        <x:v>https://github.com/RohithTadiparti/world-of-weddingz-production/pull/72</x:v>
      </x:c>
      <x:c r="C17" t="str">
        <x:v>codex/cfg-001-platform-config</x:v>
      </x:c>
      <x:c r="D17" t="str">
        <x:v>568b4a8</x:v>
      </x:c>
      <x:c r="E17" t="str">
        <x:v>8efb49c</x:v>
      </x:c>
      <x:c r="F17" t="str">
        <x:v>WOW-MD PR 46 merged as 9135e2f</x:v>
      </x:c>
      <x:c r="G17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t="str">
        <x:v>Merged after OBS-003 PR 71; retain secrets in environment or secret stores; public tiers must provide S3 bucket secure cookies and disabled Swagger</x:v>
      </x:c>
      <x:c r="I17" t="str">
        <x:v>Revert PR 72 and rebuild; all pre-existing environment variables remain compatible and no database rollback is required</x:v>
      </x:c>
      <x:c r="J17" t="str">
        <x:v>Public and revenue validation deliberately refuses unsafe provider combinations; existing moderate or low framework-chain dependency findings remain outside this change</x:v>
      </x:c>
      <x:c r="K17" t="str">
        <x:v>Merged</x:v>
      </x:c>
      <x:c r="L17" t="str">
        <x:v>2026-10-06</x:v>
      </x:c>
    </x:row>
    <x:row r="18">
      <x:c r="A18" t="str">
        <x:v>SYNC-003</x:v>
      </x:c>
      <x:c r="B18" t="str">
        <x:v>https://github.com/RohithTadiparti/world-of-weddingz-production/pull/77</x:v>
      </x:c>
      <x:c r="C18" t="str">
        <x:v>codex/sync-003-consumer-ui</x:v>
      </x:c>
      <x:c r="D18" t="str">
        <x:v>3e05702</x:v>
      </x:c>
      <x:c r="E18" t="str">
        <x:v>83c2400</x:v>
      </x:c>
      <x:c r="F18" t="str">
        <x:v>WOW-MD PR 50 merged as 2ddfaf6; reviewed local source range 07218b4..8a147a6</x:v>
      </x:c>
      <x:c r="G18" t="str">
        <x:v>Frontend typecheck; 19 test files and 180 tests; production build; WOW-MD protected build-and-test frontend mobile Docker and CodeQL checks; production protected CI pending</x:v>
      </x:c>
      <x:c r="H18" t="str">
        <x:v>Rebuild and deploy only the frontend image; smoke public home login registration and bride groom family navigation</x:v>
      </x:c>
      <x:c r="I18" t="str">
        <x:v>Revert PR 77 and rebuild the frontend image; no database configuration or infrastructure rollback</x:v>
      </x:c>
      <x:c r="J18" t="str">
        <x:v>Live post-deployment visual and role smoke remains; main client bundle is about 1.9 MB raw and 505 KB gzip; source-only preview artifacts were rejected</x:v>
      </x:c>
      <x:c r="K18" t="str">
        <x:v>Ready for Review</x:v>
      </x:c>
      <x:c r="L18" t="str">
        <x:v>2026-10-06</x:v>
      </x:c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f8f77c6222d41b7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590220a4ebb4046"/>
  </x:tableParts>
</x:worksheet>
</file>