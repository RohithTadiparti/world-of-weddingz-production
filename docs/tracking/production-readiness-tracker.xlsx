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9343b09047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045998242a74c30"/>
    <x:sheet xmlns:r="http://schemas.openxmlformats.org/officeDocument/2006/relationships" name="Open Items" sheetId="2" r:id="R5c58e9077c63496d"/>
    <x:sheet xmlns:r="http://schemas.openxmlformats.org/officeDocument/2006/relationships" name="Requirements" sheetId="3" r:id="R0b93de2a100548ec"/>
    <x:sheet xmlns:r="http://schemas.openxmlformats.org/officeDocument/2006/relationships" name="Test Inventory" sheetId="4" r:id="R84e2e509f37e46dc"/>
    <x:sheet xmlns:r="http://schemas.openxmlformats.org/officeDocument/2006/relationships" name="Risks" sheetId="5" r:id="Rb39a079fde1443c6"/>
    <x:sheet xmlns:r="http://schemas.openxmlformats.org/officeDocument/2006/relationships" name="Access" sheetId="6" r:id="Rb8c6208b686a4a94"/>
    <x:sheet xmlns:r="http://schemas.openxmlformats.org/officeDocument/2006/relationships" name="Release Gates" sheetId="7" r:id="R5791293c8a15460c"/>
    <x:sheet xmlns:r="http://schemas.openxmlformats.org/officeDocument/2006/relationships" name="Change Intake" sheetId="8" r:id="R6151b4e22a294654"/>
    <x:sheet xmlns:r="http://schemas.openxmlformats.org/officeDocument/2006/relationships" name="PR Handoffs" sheetId="9" r:id="R9b02003173ee43d5"/>
    <x:sheet xmlns:r="http://schemas.openxmlformats.org/officeDocument/2006/relationships" name="Documents" sheetId="10" r:id="R19371c2da2e04d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cb5ddf59354e8f" /><Relationship Type="http://schemas.openxmlformats.org/officeDocument/2006/relationships/theme" Target="/xl/theme/theme1.xml" Id="R50eefb141b0c46c2" /><Relationship Type="http://schemas.openxmlformats.org/officeDocument/2006/relationships/sharedStrings" Target="/xl/sharedStrings.xml" Id="R89dfc611024746ac" /><Relationship Type="http://schemas.openxmlformats.org/officeDocument/2006/relationships/worksheet" Target="/xl/worksheets/sheet1.xml" Id="Rf045998242a74c30" /><Relationship Type="http://schemas.openxmlformats.org/officeDocument/2006/relationships/worksheet" Target="/xl/worksheets/sheet2.xml" Id="R5c58e9077c63496d" /><Relationship Type="http://schemas.openxmlformats.org/officeDocument/2006/relationships/worksheet" Target="/xl/worksheets/sheet3.xml" Id="R0b93de2a100548ec" /><Relationship Type="http://schemas.openxmlformats.org/officeDocument/2006/relationships/worksheet" Target="/xl/worksheets/sheet4.xml" Id="R84e2e509f37e46dc" /><Relationship Type="http://schemas.openxmlformats.org/officeDocument/2006/relationships/worksheet" Target="/xl/worksheets/sheet5.xml" Id="Rb39a079fde1443c6" /><Relationship Type="http://schemas.openxmlformats.org/officeDocument/2006/relationships/worksheet" Target="/xl/worksheets/sheet6.xml" Id="Rb8c6208b686a4a94" /><Relationship Type="http://schemas.openxmlformats.org/officeDocument/2006/relationships/worksheet" Target="/xl/worksheets/sheet7.xml" Id="R5791293c8a15460c" /><Relationship Type="http://schemas.openxmlformats.org/officeDocument/2006/relationships/worksheet" Target="/xl/worksheets/sheet8.xml" Id="R6151b4e22a294654" /><Relationship Type="http://schemas.openxmlformats.org/officeDocument/2006/relationships/worksheet" Target="/xl/worksheets/sheet9.xml" Id="R9b02003173ee43d5" /><Relationship Type="http://schemas.openxmlformats.org/officeDocument/2006/relationships/worksheet" Target="/xl/worksheets/sheet10.xml" Id="R19371c2da2e04d4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ee88f7173542e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ee88f7173542e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8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9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2afa341ec54d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9dd4d653f845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4736675aa264a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de858031bf34c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bec78af8b254f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79848e1845c404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885d78aa35540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f71ebed71fb425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ff21dff55c64e8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8c739dd9bde49a4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Items'!$A$6:$A$37)</x:f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f>B7</x:f>
        <x:v>29</x:v>
      </x:c>
    </x:row>
    <x:row r="7">
      <x:c r="A7" s="33" t="str">
        <x:v>Open</x:v>
      </x:c>
      <x:c r="B7" s="34" t="n">
        <x:f>COUNTIF('Open Items'!$F$6:$F$37,"Open")</x:f>
        <x:v>29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Items'!$F$6:$F$37,"In Progress")</x:f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f>COUNTIF('Open Items'!$F$6:$F$37,"PR Open")</x:f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f>B10</x:f>
        <x:v>0</x:v>
      </x:c>
    </x:row>
    <x:row r="10">
      <x:c r="A10" s="33" t="str">
        <x:v>Blocked</x:v>
      </x:c>
      <x:c r="B10" s="34" t="n">
        <x:f>COUNTIF('Open Items'!$F$6:$F$37,"Blocked")</x:f>
        <x:v>0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Items'!$F$6:$F$37,"Done")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312afa341ec54df4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PR Open</x:v>
      </x:c>
      <x:c r="G6" s="25" t="str">
        <x:v>Codex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>
        <x:v>https://github.com/RohithTadiparti/world-of-weddingz-production/pull/56</x:v>
      </x:c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19dd4d653f8456e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4736675aa264a05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WOW-MD PR 37</x:v>
      </x:c>
      <x:c r="E13" s="26" t="str">
        <x:v>Provider policy 6 of 6; admin auth/JWT 49 of 49; source mirror 55 of 55; CI pending</x:v>
      </x:c>
      <x:c r="F13" s="26" t="str">
        <x:v>Complete protected CI and live staged enrollment/mail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dde858031bf34c45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bec78af8b254f28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79848e1845c4048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885d78aa3554021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9f71ebed71fb425b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7" t="str">
        <x:v>SEC-001</x:v>
      </x:c>
      <x:c r="B8" s="27" t="str">
        <x:v>https://github.com/RohithTadiparti/world-of-weddingz-production/pull/56</x:v>
      </x:c>
      <x:c r="C8" s="27" t="str">
        <x:v>codex/sec-001-admin-mfa-provider-policy</x:v>
      </x:c>
      <x:c r="D8" s="27" t="str">
        <x:v>57e13d0</x:v>
      </x:c>
      <x:c r="E8" s="27" t="str">
        <x:v>532cf6c</x:v>
      </x:c>
      <x:c r="F8" s="27" t="str">
        <x:v>WOW-MD PR 37 commit 1482d83</x:v>
      </x:c>
      <x:c r="G8" s="27" t="str">
        <x:v>Config policy 6/6; auth and JWT 49/49; WOW-MD mirror focused suite 55/55; backend typecheck and lint pass; governance 7/7; protected CI pending</x:v>
      </x:c>
      <x:c r="H8" s="27" t="str">
        <x:v>Configure Zoho SMTP S3 HTTPS and administrator TOTP in staging; select public-beta only after delivery and enrollment evidence</x:v>
      </x:c>
      <x:c r="I8" s="27" t="str">
        <x:v>Restore previous image/config; do not fall back to log/mock in a public tier; pause email-dependent workflows</x:v>
      </x:c>
      <x:c r="J8" s="27" t="str">
        <x:v>Zoho owner/DNS/secrets and first delivery are pending; administrators must enrol before public tier; Zoho Mail is low-volume only</x:v>
      </x:c>
      <x:c r="K8" s="27" t="str">
        <x:v>PR Open</x:v>
      </x:c>
      <x:c r="L8" s="30" t="str">
        <x:v>2026-10-04</x:v>
      </x:c>
    </x:row>
  </x:sheetData>
  <x:mergeCells>
    <x:mergeCell ref="A3:L3"/>
  </x:mergeCells>
  <x:conditionalFormatting sqref="K6:K8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ff21dff55c64e86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SEC-001 implementation plan</x:v>
      </x:c>
      <x:c r="C18" s="26" t="str">
        <x:v>docs/superpowers/plans/2026-10-04-sec-001-admin-mfa-provider-policy.md</x:v>
      </x:c>
      <x:c r="D18" s="26" t="str">
        <x:v>Security</x:v>
      </x:c>
      <x:c r="E18" s="26" t="str">
        <x:v>Active</x:v>
      </x:c>
      <x:c r="F18" s="26" t="str">
        <x:v>On authentication/provider policy change</x:v>
      </x:c>
      <x:c r="G18" s="26" t="str">
        <x:v>2026-10-04</x:v>
      </x:c>
      <x:c r="H18" s="26" t="str">
        <x:v>SEC-001</x:v>
      </x:c>
    </x:row>
    <x:row r="19" ht="30" customHeight="1">
      <x:c r="A19" s="27" t="str">
        <x:v>DOC-014</x:v>
      </x:c>
      <x:c r="B19" s="27" t="str">
        <x:v>Zoho Mail SMTP operating guide</x:v>
      </x:c>
      <x:c r="C19" s="27" t="str">
        <x:v>docs/operations/zoho-mail.md</x:v>
      </x:c>
      <x:c r="D19" s="27" t="str">
        <x:v>Security and operations</x:v>
      </x:c>
      <x:c r="E19" s="27" t="str">
        <x:v>Approved candidate</x:v>
      </x:c>
      <x:c r="F19" s="27" t="str">
        <x:v>Quarterly or provider change</x:v>
      </x:c>
      <x:c r="G19" s="27" t="str">
        <x:v>2026-10-04</x:v>
      </x:c>
      <x:c r="H19" s="27" t="str">
        <x:v>SEC-001 OPS-003</x:v>
      </x:c>
    </x:row>
  </x:sheetData>
  <x:mergeCells>
    <x:mergeCell ref="A3:H3"/>
  </x:mergeCells>
  <x:conditionalFormatting sqref="E6:E19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8c739dd9bde49a4"/>
  </x:tableParts>
</x:worksheet>
</file>