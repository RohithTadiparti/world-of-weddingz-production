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c39a3d8ff444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096213e9a264624"/>
    <x:sheet xmlns:r="http://schemas.openxmlformats.org/officeDocument/2006/relationships" name="Open Items" sheetId="2" r:id="Rc8281c02ce4d4508"/>
    <x:sheet xmlns:r="http://schemas.openxmlformats.org/officeDocument/2006/relationships" name="Requirements" sheetId="3" r:id="Ra9e0692ea21b467c"/>
    <x:sheet xmlns:r="http://schemas.openxmlformats.org/officeDocument/2006/relationships" name="Test Inventory" sheetId="4" r:id="Rcb8547c5892740ba"/>
    <x:sheet xmlns:r="http://schemas.openxmlformats.org/officeDocument/2006/relationships" name="Risks" sheetId="5" r:id="R049e88ba5b3e49fd"/>
    <x:sheet xmlns:r="http://schemas.openxmlformats.org/officeDocument/2006/relationships" name="Access" sheetId="6" r:id="Rdca6959475464098"/>
    <x:sheet xmlns:r="http://schemas.openxmlformats.org/officeDocument/2006/relationships" name="Release Gates" sheetId="7" r:id="Rf747b20b6f534d7f"/>
    <x:sheet xmlns:r="http://schemas.openxmlformats.org/officeDocument/2006/relationships" name="Change Intake" sheetId="8" r:id="R8dd1bfabb3cf474d"/>
    <x:sheet xmlns:r="http://schemas.openxmlformats.org/officeDocument/2006/relationships" name="PR Handoffs" sheetId="9" r:id="R0980d065be694651"/>
    <x:sheet xmlns:r="http://schemas.openxmlformats.org/officeDocument/2006/relationships" name="Documents" sheetId="10" r:id="R20594c3ba7184f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bd03b3d21940b2" /><Relationship Type="http://schemas.openxmlformats.org/officeDocument/2006/relationships/theme" Target="/xl/theme/theme1.xml" Id="Rf15e81ac334441be" /><Relationship Type="http://schemas.openxmlformats.org/officeDocument/2006/relationships/sharedStrings" Target="/xl/sharedStrings.xml" Id="Rbfef21451b5c4b93" /><Relationship Type="http://schemas.openxmlformats.org/officeDocument/2006/relationships/worksheet" Target="/xl/worksheets/sheet1.xml" Id="R3096213e9a264624" /><Relationship Type="http://schemas.openxmlformats.org/officeDocument/2006/relationships/worksheet" Target="/xl/worksheets/sheet2.xml" Id="Rc8281c02ce4d4508" /><Relationship Type="http://schemas.openxmlformats.org/officeDocument/2006/relationships/worksheet" Target="/xl/worksheets/sheet3.xml" Id="Ra9e0692ea21b467c" /><Relationship Type="http://schemas.openxmlformats.org/officeDocument/2006/relationships/worksheet" Target="/xl/worksheets/sheet4.xml" Id="Rcb8547c5892740ba" /><Relationship Type="http://schemas.openxmlformats.org/officeDocument/2006/relationships/worksheet" Target="/xl/worksheets/sheet5.xml" Id="R049e88ba5b3e49fd" /><Relationship Type="http://schemas.openxmlformats.org/officeDocument/2006/relationships/worksheet" Target="/xl/worksheets/sheet6.xml" Id="Rdca6959475464098" /><Relationship Type="http://schemas.openxmlformats.org/officeDocument/2006/relationships/worksheet" Target="/xl/worksheets/sheet7.xml" Id="Rf747b20b6f534d7f" /><Relationship Type="http://schemas.openxmlformats.org/officeDocument/2006/relationships/worksheet" Target="/xl/worksheets/sheet8.xml" Id="R8dd1bfabb3cf474d" /><Relationship Type="http://schemas.openxmlformats.org/officeDocument/2006/relationships/worksheet" Target="/xl/worksheets/sheet9.xml" Id="R0980d065be694651" /><Relationship Type="http://schemas.openxmlformats.org/officeDocument/2006/relationships/worksheet" Target="/xl/worksheets/sheet10.xml" Id="R20594c3ba7184f9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dae80578dd643e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ae80578dd643e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42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7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20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9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14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21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1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e0c6f4ace294ad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054179318af4c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78a32c8f4f74f7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ceaa730524b462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d9c6ebef2c1424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65bd295a35441e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8c0b6825fbc4b1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9aa16639acf40d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677e4d2ca39d4ef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f9eb44f698a94ffe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2026-10-06.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f>COUNTA('Open Items'!$A$6:$A$42)</x:f>
        <x:v>37</x:v>
      </x:c>
      <x:c r="D6" s="33" t="str">
        <x:v>P0 items not done</x:v>
      </x:c>
      <x:c r="E6" s="34" t="n">
        <x:f>COUNTIFS('Open Items'!$E$6:$E$42,"P0",'Open Items'!$F$6:$F$42,"&lt;&gt;Done")</x:f>
        <x:v>12</x:v>
      </x:c>
      <x:c r="G6" s="39" t="str">
        <x:v>Open</x:v>
      </x:c>
      <x:c r="H6" s="39" t="n">
        <x:f>B7</x:f>
        <x:v>21</x:v>
      </x:c>
    </x:row>
    <x:row r="7">
      <x:c r="A7" s="33" t="str">
        <x:v>Open</x:v>
      </x:c>
      <x:c r="B7" s="34" t="n">
        <x:f>COUNTIF('Open Items'!$F$6:$F$42,"Open")</x:f>
        <x:v>21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f>COUNTIF('Open Items'!$F$6:$F$42,"In Progress")</x:f>
        <x:v>0</x:v>
      </x:c>
      <x:c r="D8" s="33" t="str">
        <x:v>Open risks</x:v>
      </x:c>
      <x:c r="E8" s="34" t="n">
        <x:f>COUNTIF(Risks!$H$6:$H$19,"Open")</x:f>
        <x:v>10</x:v>
      </x:c>
      <x:c r="G8" s="39" t="str">
        <x:v>PR Open</x:v>
      </x:c>
      <x:c r="H8" s="39" t="n">
        <x:f>B9</x:f>
        <x:v>0</x:v>
      </x:c>
    </x:row>
    <x:row r="9">
      <x:c r="A9" s="33" t="str">
        <x:v>PR Open</x:v>
      </x:c>
      <x:c r="B9" s="34" t="n">
        <x:f>COUNTIF('Open Items'!$F$6:$F$42,"PR Open")</x:f>
        <x:v>0</x:v>
      </x:c>
      <x:c r="D9" s="33" t="str">
        <x:v>P0 open risks</x:v>
      </x:c>
      <x:c r="E9" s="34" t="n">
        <x:f>COUNTIFS(Risks!$E$6:$E$19,"P0",Risks!$H$6:$H$19,"Open")</x:f>
        <x:v>9</x:v>
      </x:c>
      <x:c r="G9" s="39" t="str">
        <x:v>Blocked</x:v>
      </x:c>
      <x:c r="H9" s="39" t="n">
        <x:f>B10</x:f>
        <x:v>1</x:v>
      </x:c>
    </x:row>
    <x:row r="10">
      <x:c r="A10" s="33" t="str">
        <x:v>Blocked</x:v>
      </x:c>
      <x:c r="B10" s="34" t="n">
        <x:f>COUNTIF('Open Items'!$F$6:$F$42,"Blocked")</x:f>
        <x:v>1</x:v>
      </x:c>
      <x:c r="D10" s="33" t="str">
        <x:v>Approved requirements</x:v>
      </x:c>
      <x:c r="E10" s="34" t="n">
        <x:f>COUNTIF(Requirements!$G$6:$G$27,"Approved")</x:f>
        <x:v>22</x:v>
      </x:c>
      <x:c r="G10" s="39" t="str">
        <x:v>Done</x:v>
      </x:c>
      <x:c r="H10" s="39" t="n">
        <x:f>B11</x:f>
        <x:v>15</x:v>
      </x:c>
    </x:row>
    <x:row r="11">
      <x:c r="A11" s="33" t="str">
        <x:v>Done</x:v>
      </x:c>
      <x:c r="B11" s="34" t="n">
        <x:f>COUNTIF('Open Items'!$F$6:$F$42,"Done")</x:f>
        <x:v>15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6e0c6f4ace294adf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Align authentication with Zoho SSO and multi-identifier login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Done</x:v>
      </x:c>
      <x:c r="G6" s="25" t="str">
        <x:v>Codex</x:v>
      </x:c>
      <x:c r="H6" s="25" t="str"/>
      <x:c r="I6" s="25" t="str">
        <x:v>Administrators use Zoho SSO; existing users may use Zoho SSO or username/email/mobile plus password; OTP is verification/recovery only; unsafe public provider combinations fail startup</x:v>
      </x:c>
      <x:c r="J6" s="25" t="str">
        <x:v>Production plan Task 1A and user authentication decision</x:v>
      </x:c>
      <x:c r="K6" s="25" t="str">
        <x:v>https://github.com/RohithTadiparti/world-of-weddingz-production/issues/6</x:v>
      </x:c>
      <x:c r="L6" s="25" t="str">
        <x:v>https://github.com/RohithTadiparti/world-of-weddingz-production/pull/58</x:v>
      </x:c>
      <x:c r="M6" s="28" t="str">
        <x:v>2026-10-05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Done</x:v>
      </x:c>
      <x:c r="G7" s="26" t="str">
        <x:v>Codex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>
        <x:v>https://github.com/RohithTadiparti/world-of-weddingz-production/pull/62</x:v>
      </x:c>
      <x:c r="M7" s="29" t="str">
        <x:v>2026-10-05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Done</x:v>
      </x:c>
      <x:c r="G8" s="26" t="str">
        <x:v>Codex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>
        <x:v>https://github.com/RohithTadiparti/world-of-weddingz-production/pull/64</x:v>
      </x:c>
      <x:c r="M8" s="29" t="str">
        <x:v>2026-10-05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Done</x:v>
      </x:c>
      <x:c r="G9" s="26" t="str">
        <x:v>Codex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>
        <x:v>https://github.com/RohithTadiparti/world-of-weddingz-production/pull/63</x:v>
      </x:c>
      <x:c r="M9" s="29" t="str">
        <x:v>2026-10-05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Done</x:v>
      </x:c>
      <x:c r="G10" s="26" t="str">
        <x:v>Codex</x:v>
      </x:c>
      <x:c r="H10" s="26" t="str"/>
      <x:c r="I10" s="26" t="str">
        <x:v>No unaccepted critical/high runtime advisory; CI blocks regressions; explicitly documented no-fix build-tool exceptions remain narrow and reviewable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>
        <x:v>https://github.com/RohithTadiparti/world-of-weddingz-production/pull/59</x:v>
      </x:c>
      <x:c r="M10" s="29" t="str">
        <x:v>2026-10-05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Done</x:v>
      </x:c>
      <x:c r="G11" s="26" t="str">
        <x:v>Codex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>
        <x:v>https://github.com/RohithTadiparti/world-of-weddingz-production/pull/69</x:v>
      </x:c>
      <x:c r="M11" s="29" t="str">
        <x:v>2026-10-05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Done</x:v>
      </x:c>
      <x:c r="G13" s="26" t="str">
        <x:v>Codex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>
        <x:v>https://github.com/RohithTadiparti/world-of-weddingz-production/pull/71</x:v>
      </x:c>
      <x:c r="M13" s="29" t="str">
        <x:v>2026-10-06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Done</x:v>
      </x:c>
      <x:c r="G14" s="26" t="str">
        <x:v>Codex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>
        <x:v>https://github.com/RohithTadiparti/world-of-weddingz-production/pull/72</x:v>
      </x:c>
      <x:c r="M14" s="29" t="str">
        <x:v>2026-10-06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fresh-authentication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Fresh Zoho reauthentication issues a five-minute single-use action-scoped token for migration start; application TOTP is a documented fallback only</x:v>
      </x:c>
      <x:c r="J20" s="26" t="str">
        <x:v>Production plan Task 9 and user authentication decision</x:v>
      </x:c>
      <x:c r="K20" s="26" t="str">
        <x:v>https://github.com/RohithTadiparti/world-of-weddingz-production/issues/20</x:v>
      </x:c>
      <x:c r="L20" s="26" t="str"/>
      <x:c r="M20" s="29" t="str">
        <x:v>2026-10-05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2026-10-05</x:v>
      </x:c>
    </x:row>
    <x:row r="37" ht="30" customHeight="1">
      <x:c r="A37" s="26" t="str">
        <x:v>GOV-002</x:v>
      </x:c>
      <x:c r="B37" s="26" t="str">
        <x:v>Establish SDLC knowledge and tracking system</x:v>
      </x:c>
      <x:c r="C37" s="26" t="str">
        <x:v>Governance</x:v>
      </x:c>
      <x:c r="D37" s="26" t="str">
        <x:v>Governance</x:v>
      </x:c>
      <x:c r="E37" s="26" t="str">
        <x:v>P0</x:v>
      </x:c>
      <x:c r="F37" s="26" t="str">
        <x:v>Done</x:v>
      </x:c>
      <x:c r="G37" s="26" t="str">
        <x:v>Codex</x:v>
      </x:c>
      <x:c r="H37" s="26" t="str"/>
      <x:c r="I37" s="26" t="str">
        <x:v>Markdown CSV Excel issues PR protocol and Obsidian index are linked and verified</x:v>
      </x:c>
      <x:c r="J37" s="26" t="str">
        <x:v>User request</x:v>
      </x:c>
      <x:c r="K37" s="26" t="str">
        <x:v>https://github.com/RohithTadiparti/world-of-weddingz-production/issues/37</x:v>
      </x:c>
      <x:c r="L37" s="26" t="str">
        <x:v>https://github.com/RohithTadiparti/world-of-weddingz-production/pull/49</x:v>
      </x:c>
      <x:c r="M37" s="29" t="str">
        <x:v>2026-10-05</x:v>
      </x:c>
    </x:row>
    <x:row r="38" ht="30" customHeight="1">
      <x:c r="A38" s="26" t="str">
        <x:v>GOV-003</x:v>
      </x:c>
      <x:c r="B38" s="26" t="str">
        <x:v>Reconcile authentication and dependency tracking</x:v>
      </x:c>
      <x:c r="C38" s="26" t="str">
        <x:v>Governance</x:v>
      </x:c>
      <x:c r="D38" s="26" t="str">
        <x:v>Governance</x:v>
      </x:c>
      <x:c r="E38" s="26" t="str">
        <x:v>P0</x:v>
      </x:c>
      <x:c r="F38" s="26" t="str">
        <x:v>Done</x:v>
      </x:c>
      <x:c r="G38" s="26" t="str">
        <x:v>Codex</x:v>
      </x:c>
      <x:c r="H38" s="26" t="str">
        <x:v>SEC-001,DEP-001</x:v>
      </x:c>
      <x:c r="I38" s="26" t="str">
        <x:v>Canonical registers workbook and operating guidance match the implemented authentication policy and dependency evidence</x:v>
      </x:c>
      <x:c r="J38" s="26" t="str">
        <x:v>User request</x:v>
      </x:c>
      <x:c r="K38" s="26" t="str">
        <x:v>https://github.com/RohithTadiparti/world-of-weddingz-production/issues/60</x:v>
      </x:c>
      <x:c r="L38" s="26" t="str">
        <x:v>https://github.com/RohithTadiparti/world-of-weddingz-production/pull/61</x:v>
      </x:c>
      <x:c r="M38" s="29" t="str">
        <x:v>2026-10-05</x:v>
      </x:c>
    </x:row>
    <x:row r="39" ht="30" customHeight="1">
      <x:c r="A39" s="26" t="str">
        <x:v>SYNC-003</x:v>
      </x:c>
      <x:c r="B39" s="26" t="str">
        <x:v>Integrate committed immersive consumer UI</x:v>
      </x:c>
      <x:c r="C39" s="26" t="str">
        <x:v>Source intake</x:v>
      </x:c>
      <x:c r="D39" s="26" t="str">
        <x:v>UI/UX synchronization</x:v>
      </x:c>
      <x:c r="E39" s="26" t="str">
        <x:v>P0</x:v>
      </x:c>
      <x:c r="F39" s="26" t="str">
        <x:v>Done</x:v>
      </x:c>
      <x:c r="G39" s="26" t="str">
        <x:v>Codex</x:v>
      </x:c>
      <x:c r="H39" s="26" t="str">
        <x:v>SYNC-002</x:v>
      </x:c>
      <x:c r="I39" s="26" t="str">
        <x:v>Committed public login registration and consumer portal UI is present in WOW-MD and production without overwriting production hardening</x:v>
      </x:c>
      <x:c r="J39" s="26" t="str">
        <x:v>WOW-MD PR 50 and production issue 76</x:v>
      </x:c>
      <x:c r="K39" s="26" t="str">
        <x:v>https://github.com/RohithTadiparti/world-of-weddingz-production/issues/76</x:v>
      </x:c>
      <x:c r="L39" s="26" t="str">
        <x:v>https://github.com/RohithTadiparti/world-of-weddingz-production/pull/77</x:v>
      </x:c>
      <x:c r="M39" s="29" t="str">
        <x:v>2026-10-06</x:v>
      </x:c>
    </x:row>
    <x:row r="40" ht="30" customHeight="1">
      <x:c r="A40" s="26" t="str">
        <x:v>DEP-002</x:v>
      </x:c>
      <x:c r="B40" s="26" t="str">
        <x:v>Reconcile compatible dependency upgrade set</x:v>
      </x:c>
      <x:c r="C40" s="26" t="str">
        <x:v>Public beta safety</x:v>
      </x:c>
      <x:c r="D40" s="26" t="str">
        <x:v>Security</x:v>
      </x:c>
      <x:c r="E40" s="26" t="str">
        <x:v>P0</x:v>
      </x:c>
      <x:c r="F40" s="26" t="str">
        <x:v>Done</x:v>
      </x:c>
      <x:c r="G40" s="26" t="str">
        <x:v>Codex</x:v>
      </x:c>
      <x:c r="H40" s="26" t="str">
        <x:v>DEP-001</x:v>
      </x:c>
      <x:c r="I40" s="26" t="str">
        <x:v>Compatible React, Nest, test, CI and Terraform upgrades pass all mandatory suites; incompatible ioredis 6 and Expo Router 58 upgrades remain explicitly constrained</x:v>
      </x:c>
      <x:c r="J40" s="26" t="str">
        <x:v>WOW-MD PR 52</x:v>
      </x:c>
      <x:c r="K40" s="26" t="str">
        <x:v>https://github.com/RohithTadiparti/world-of-weddingz-production/issues/82</x:v>
      </x:c>
      <x:c r="L40" s="26" t="str">
        <x:v>https://github.com/RohithTadiparti/world-of-weddingz-production/pull/83</x:v>
      </x:c>
      <x:c r="M40" s="29" t="str">
        <x:v>2026-10-06</x:v>
      </x:c>
    </x:row>
    <x:row r="41" ht="30" customHeight="1">
      <x:c r="A41" s="26" t="str">
        <x:v>DEP-003</x:v>
      </x:c>
      <x:c r="B41" s="26" t="str">
        <x:v>Complete remaining dependency source mirrors</x:v>
      </x:c>
      <x:c r="C41" s="26" t="str">
        <x:v>Public beta safety</x:v>
      </x:c>
      <x:c r="D41" s="26" t="str">
        <x:v>Security</x:v>
      </x:c>
      <x:c r="E41" s="26" t="str">
        <x:v>P0</x:v>
      </x:c>
      <x:c r="F41" s="26" t="str">
        <x:v>Done</x:v>
      </x:c>
      <x:c r="G41" s="26" t="str">
        <x:v>Codex</x:v>
      </x:c>
      <x:c r="H41" s="26" t="str">
        <x:v>DEP-002</x:v>
      </x:c>
      <x:c r="I41" s="26" t="str">
        <x:v>Production carries the reviewed glob lockfile, Node and nginx images, AWS modules and GitHub Actions versions from WOW-MD with production-only workflows upgraded consistently</x:v>
      </x:c>
      <x:c r="J41" s="26" t="str">
        <x:v>WOW-MD PRs 18 20 21 22 27 53</x:v>
      </x:c>
      <x:c r="K41" s="26" t="str">
        <x:v>https://github.com/RohithTadiparti/world-of-weddingz-production/issues/85</x:v>
      </x:c>
      <x:c r="L41" s="26" t="str">
        <x:v>https://github.com/RohithTadiparti/world-of-weddingz-production/pull/84</x:v>
      </x:c>
      <x:c r="M41" s="29" t="str">
        <x:v>2026-10-06</x:v>
      </x:c>
    </x:row>
    <x:row r="42" ht="30" customHeight="1">
      <x:c r="A42" s="27" t="str">
        <x:v>DEP-004</x:v>
      </x:c>
      <x:c r="B42" s="27" t="str">
        <x:v>Restore Express runtime dependency</x:v>
      </x:c>
      <x:c r="C42" s="27" t="str">
        <x:v>Public beta safety</x:v>
      </x:c>
      <x:c r="D42" s="27" t="str">
        <x:v>Reliability</x:v>
      </x:c>
      <x:c r="E42" s="27" t="str">
        <x:v>P0</x:v>
      </x:c>
      <x:c r="F42" s="27" t="str">
        <x:v>Done</x:v>
      </x:c>
      <x:c r="G42" s="27" t="str">
        <x:v>Codex</x:v>
      </x:c>
      <x:c r="H42" s="27" t="str">
        <x:v>DEP-003</x:v>
      </x:c>
      <x:c r="I42" s="27" t="str">
        <x:v>The final backend production image contains the explicit Express 4 compatibility package imported by dist/main.js and starts successfully</x:v>
      </x:c>
      <x:c r="J42" s="27" t="str">
        <x:v>WOW-MD PRs 54 and 55</x:v>
      </x:c>
      <x:c r="K42" s="27" t="str">
        <x:v>https://github.com/RohithTadiparti/world-of-weddingz-production/issues/87</x:v>
      </x:c>
      <x:c r="L42" s="27" t="str">
        <x:v>https://github.com/RohithTadiparti/world-of-weddingz-production/pull/88</x:v>
      </x:c>
      <x:c r="M42" s="30" t="str">
        <x:v>2026-10-06</x:v>
      </x:c>
    </x:row>
  </x:sheetData>
  <x:mergeCells>
    <x:mergeCell ref="A3:M3"/>
  </x:mergeCells>
  <x:conditionalFormatting sqref="E6:E42">
    <x:cfRule type="containsText" dxfId="0" priority="1" operator="containsText" text="P0"/>
  </x:conditionalFormatting>
  <x:conditionalFormatting sqref="F6:F42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4054179318af4c19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6" t="str">
        <x:v>REQ-REV-001</x:v>
      </x:c>
      <x:c r="B23" s="26" t="str">
        <x:v>AWS migration readiness reports INR 1.2M target and INR 1.5M preferred monthly net revenue</x:v>
      </x:c>
      <x:c r="C23" s="26" t="str">
        <x:v>Migration design</x:v>
      </x:c>
      <x:c r="D23" s="26" t="str">
        <x:v>P1</x:v>
      </x:c>
      <x:c r="E23" s="26" t="str">
        <x:v>Admin readiness UI test</x:v>
      </x:c>
      <x:c r="F23" s="26" t="str">
        <x:v>UI-001</x:v>
      </x:c>
      <x:c r="G23" s="26" t="str">
        <x:v>Approved</x:v>
      </x:c>
    </x:row>
    <x:row r="24" ht="30" customHeight="1">
      <x:c r="A24" s="26" t="str">
        <x:v>REQ-AUTH-001</x:v>
      </x:c>
      <x:c r="B24" s="26" t="str">
        <x:v>Administrators authenticate through Zoho SSO and do not require routine application TOTP</x:v>
      </x:c>
      <x:c r="C24" s="26" t="str">
        <x:v>User direction</x:v>
      </x:c>
      <x:c r="D24" s="26" t="str">
        <x:v>P0</x:v>
      </x:c>
      <x:c r="E24" s="26" t="str">
        <x:v>Authentication integration tests and controlled Zoho sign-in evidence</x:v>
      </x:c>
      <x:c r="F24" s="26" t="str">
        <x:v>SEC-001</x:v>
      </x:c>
      <x:c r="G24" s="26" t="str">
        <x:v>Approved</x:v>
      </x:c>
    </x:row>
    <x:row r="25" ht="30" customHeight="1">
      <x:c r="A25" s="26" t="str">
        <x:v>REQ-AUTH-002</x:v>
      </x:c>
      <x:c r="B25" s="26" t="str">
        <x:v>Existing users may sign in with Zoho SSO or username email or mobile plus password and any valid email provider is accepted</x:v>
      </x:c>
      <x:c r="C25" s="26" t="str">
        <x:v>User direction</x:v>
      </x:c>
      <x:c r="D25" s="26" t="str">
        <x:v>P0</x:v>
      </x:c>
      <x:c r="E25" s="26" t="str">
        <x:v>Backend frontend mobile and Playwright authentication tests</x:v>
      </x:c>
      <x:c r="F25" s="26" t="str">
        <x:v>SEC-001</x:v>
      </x:c>
      <x:c r="G25" s="26" t="str">
        <x:v>Approved</x:v>
      </x:c>
    </x:row>
    <x:row r="26" ht="30" customHeight="1">
      <x:c r="A26" s="26" t="str">
        <x:v>REQ-AUTH-003</x:v>
      </x:c>
      <x:c r="B26" s="26" t="str">
        <x:v>OTP is used only for signup/contact verification and password recovery and never as passwordless login</x:v>
      </x:c>
      <x:c r="C26" s="26" t="str">
        <x:v>User direction</x:v>
      </x:c>
      <x:c r="D26" s="26" t="str">
        <x:v>P0</x:v>
      </x:c>
      <x:c r="E26" s="26" t="str">
        <x:v>Route inventory and authentication tests</x:v>
      </x:c>
      <x:c r="F26" s="26" t="str">
        <x:v>SEC-001</x:v>
      </x:c>
      <x:c r="G26" s="26" t="str">
        <x:v>Approved</x:v>
      </x:c>
    </x:row>
    <x:row r="27" ht="30" customHeight="1">
      <x:c r="A27" s="27" t="str">
        <x:v>REQ-AUTH-004</x:v>
      </x:c>
      <x:c r="B27" s="27" t="str">
        <x:v>Zoho domain DNS sender mailbox SMTP application password and production OAuth callback are configured only at the final deployment gate</x:v>
      </x:c>
      <x:c r="C27" s="27" t="str">
        <x:v>User direction</x:v>
      </x:c>
      <x:c r="D27" s="27" t="str">
        <x:v>P0</x:v>
      </x:c>
      <x:c r="E27" s="27" t="str">
        <x:v>Final release checklist and controlled delivery/SSO evidence</x:v>
      </x:c>
      <x:c r="F27" s="27" t="str">
        <x:v>SEC-001,REL-001</x:v>
      </x:c>
      <x:c r="G27" s="27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78a32c8f4f74f7b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6" t="str">
        <x:v>QA-GOV-001</x:v>
      </x:c>
      <x:c r="B16" s="26" t="str">
        <x:v>Source synchronization</x:v>
      </x:c>
      <x:c r="C16" s="26" t="str">
        <x:v>Private-source report and shared-code mirror gate</x:v>
      </x:c>
      <x:c r="D16" s="26" t="str">
        <x:v>PR 55 local evidence</x:v>
      </x:c>
      <x:c r="E16" s="26" t="str">
        <x:v>19 of 19 governance and synchronization tests passed</x:v>
      </x:c>
      <x:c r="F16" s="26" t="str">
        <x:v>Configure WOW_SYNC_TOKEN and capture first scheduled artifact</x:v>
      </x:c>
      <x:c r="G16" s="26" t="str">
        <x:v>SYNC-002</x:v>
      </x:c>
    </x:row>
    <x:row r="17" ht="30" customHeight="1">
      <x:c r="A17" s="26" t="str">
        <x:v>QA-SEC-002</x:v>
      </x:c>
      <x:c r="B17" s="26" t="str">
        <x:v>WebSocket authorization</x:v>
      </x:c>
      <x:c r="C17" s="26" t="str">
        <x:v>Origin token-version forced-reset call relay and presence audience</x:v>
      </x:c>
      <x:c r="D17" s="26" t="str">
        <x:v>SEC-002 PR 62</x:v>
      </x:c>
      <x:c r="E17" s="26" t="str">
        <x:v>11 focused gateway tests and complete backend suite 800 passed with 9 skipped</x:v>
      </x:c>
      <x:c r="F17" s="26" t="str">
        <x:v>Repeat browser and native reconnect smoke tests on Railway candidate</x:v>
      </x:c>
      <x:c r="G17" s="26" t="str">
        <x:v>SEC-002</x:v>
      </x:c>
    </x:row>
    <x:row r="18" ht="30" customHeight="1">
      <x:c r="A18" s="26" t="str">
        <x:v>QA-SEC-003</x:v>
      </x:c>
      <x:c r="B18" s="26" t="str">
        <x:v>HTTP and migration integrity</x:v>
      </x:c>
      <x:c r="C18" s="26" t="str">
        <x:v>Production Swagger headers migration uniqueness fresh and upgrade paths</x:v>
      </x:c>
      <x:c r="D18" s="26" t="str">
        <x:v>SEC-003 PR 63</x:v>
      </x:c>
      <x:c r="E18" s="26" t="str">
        <x:v>2 HTTP tests; 2 verifier tests; 93-file verification; 794 backend tests passed with 9 skipped; fresh and upgraded databases passed</x:v>
      </x:c>
      <x:c r="F18" s="26" t="str">
        <x:v>Repeat ingress header checks on Railway candidate</x:v>
      </x:c>
      <x:c r="G18" s="26" t="str">
        <x:v>SEC-003</x:v>
      </x:c>
    </x:row>
    <x:row r="19" ht="30" customHeight="1">
      <x:c r="A19" s="26" t="str">
        <x:v>QA-OPS-001</x:v>
      </x:c>
      <x:c r="B19" s="26" t="str">
        <x:v>Replica safety</x:v>
      </x:c>
      <x:c r="C19" s="26" t="str">
        <x:v>Outbox dispatcher and all scheduled notification payment and maintenance jobs</x:v>
      </x:c>
      <x:c r="D19" s="26" t="str">
        <x:v>OPS-001 PR 64 and WOW-MD PR 42</x:v>
      </x:c>
      <x:c r="E19" s="26" t="str">
        <x:v>Focused two-worker tests 7 of 7; full backend 797 passed 9 skipped; typecheck and lint passed</x:v>
      </x:c>
      <x:c r="F19" s="26" t="str">
        <x:v>Run two Railway replicas and confirm one owner and one skipped invocation in correlated logs</x:v>
      </x:c>
      <x:c r="G19" s="26" t="str">
        <x:v>OPS-001</x:v>
      </x:c>
    </x:row>
    <x:row r="20" ht="30" customHeight="1">
      <x:c r="A20" s="27" t="str">
        <x:v>QA-OBS-001</x:v>
      </x:c>
      <x:c r="B20" s="27" t="str">
        <x:v>Observability</x:v>
      </x:c>
      <x:c r="C20" s="27" t="str">
        <x:v>Request correlation redaction provider logs QA capture audit failures payout sweep and nginx JSON</x:v>
      </x:c>
      <x:c r="D20" s="27" t="str">
        <x:v>OBS-001 PR 69 and merged WOW-MD PR 43</x:v>
      </x:c>
      <x:c r="E20" s="27" t="str">
        <x:v>Focused observability and replica-lock integration 27 of 27; typecheck lint and nginx contract passed; protected CI recorded on PR 69</x:v>
      </x:c>
      <x:c r="F20" s="27" t="str">
        <x:v>Verify live response/log correlation with capture disabled</x:v>
      </x:c>
      <x:c r="G20" s="27" t="str">
        <x:v>OBS-001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0ceaa730524b4624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6" t="str">
        <x:v>RISK-013</x:v>
      </x:c>
      <x:c r="B18" s="26" t="str">
        <x:v>Public deployment tier is enabled before Zoho SSO and administrator recovery are proven</x:v>
      </x:c>
      <x:c r="C18" s="26" t="str">
        <x:v>High</x:v>
      </x:c>
      <x:c r="D18" s="26" t="str">
        <x:v>Possible</x:v>
      </x:c>
      <x:c r="E18" s="26" t="str">
        <x:v>P0</x:v>
      </x:c>
      <x:c r="F18" s="26" t="str">
        <x:v>Verify exact OAuth client callback administrator matching-email login Zoho-account MFA and a documented recovery owner in restricted staging before public-beta</x:v>
      </x:c>
      <x:c r="G18" s="26" t="str">
        <x:v>Security</x:v>
      </x:c>
      <x:c r="H18" s="26" t="str">
        <x:v>Open</x:v>
      </x:c>
      <x:c r="I18" s="26" t="str">
        <x:v>SEC-001 PR 58 implements Zoho-only administrator login; production Zoho configuration is intentionally deferred to the final gate</x:v>
      </x:c>
    </x:row>
    <x:row r="19" ht="30" customHeight="1">
      <x:c r="A19" s="27" t="str">
        <x:v>RISK-014</x:v>
      </x:c>
      <x:c r="B19" s="27" t="str">
        <x:v>Framework and mobile build-tool dependency advisories remain after runtime remediation</x:v>
      </x:c>
      <x:c r="C19" s="27" t="str">
        <x:v>High</x:v>
      </x:c>
      <x:c r="D19" s="27" t="str">
        <x:v>Possible</x:v>
      </x:c>
      <x:c r="E19" s="27" t="str">
        <x:v>P0</x:v>
      </x:c>
      <x:c r="F19" s="27" t="str">
        <x:v>Block new critical/high runtime advisories; allow only four exact no-fix Expo advisory IDs; schedule Nest major migration and review exceptions each release</x:v>
      </x:c>
      <x:c r="G19" s="27" t="str">
        <x:v>Security</x:v>
      </x:c>
      <x:c r="H19" s="27" t="str">
        <x:v>Mitigated</x:v>
      </x:c>
      <x:c r="I19" s="27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d9c6ebef2c14242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Zoho identity and operational email</x:v>
      </x:c>
      <x:c r="C12" s="26" t="str">
        <x:v>OAuth application exact callback domain mailbox DNS authentication reports and SMTP app-password rotation</x:v>
      </x:c>
      <x:c r="D12" s="26" t="str">
        <x:v>To be confirmed</x:v>
      </x:c>
      <x:c r="E12" s="26" t="str">
        <x:v>Zoho OAuth and SMTP identities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Configure only at final deployment; protect the Zoho owner with Zoho MFA and retain controlled SSO/mail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Deferred</x:v>
      </x:c>
      <x:c r="H15" s="30" t="str"/>
      <x:c r="I15" s="27" t="str">
        <x:v>Not technically required while WOW-MD is public; create before returning it private so the private-ready workflow keeps working; scope only to WOW-MD Contents read and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65bd295a35441e2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8c0b6825fbc4b15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6" t="str">
        <x:v>CHG-003</x:v>
      </x:c>
      <x:c r="B8" s="26" t="str">
        <x:v>RohithTadiparti/WOW-MD</x:v>
      </x:c>
      <x:c r="C8" s="26" t="str">
        <x:v>07218b4..de7d8dd (LOCAL ONLY)</x:v>
      </x:c>
      <x:c r="D8" s="26" t="str">
        <x:v>37 committed paths</x:v>
      </x:c>
      <x:c r="E8" s="26" t="str">
        <x:v>Functional UI candidates</x:v>
      </x:c>
      <x:c r="F8" s="26" t="str">
        <x:v>Await source publication and per-commit review</x:v>
      </x:c>
      <x:c r="G8" s="26" t="str">
        <x:v>SYNC-002</x:v>
      </x:c>
      <x:c r="H8" s="26" t="str">
        <x:v>https://github.com/RohithTadiparti/world-of-weddingz-production/pull/55</x:v>
      </x:c>
      <x:c r="I8" s="26" t="str">
        <x:v>Codex</x:v>
      </x:c>
      <x:c r="J8" s="29" t="str">
        <x:v>2026-10-04</x:v>
      </x:c>
      <x:c r="K8" s="26" t="str">
        <x:v>Local main is 21 commits ahead of origin; scheduled GitHub review intentionally sees pushed commits only</x:v>
      </x:c>
    </x:row>
    <x:row r="9" ht="30" customHeight="1">
      <x:c r="A9" s="26" t="str">
        <x:v>CHG-004</x:v>
      </x:c>
      <x:c r="B9" s="26" t="str">
        <x:v>RohithTadiparti/WOW-MD</x:v>
      </x:c>
      <x:c r="C9" s="26" t="str">
        <x:v>2ddfaf6b6d55d3e4833f905565d5048f3cd9c010</x:v>
      </x:c>
      <x:c r="D9" s="26" t="str">
        <x:v>frontend/ (40 paths)</x:v>
      </x:c>
      <x:c r="E9" s="26" t="str">
        <x:v>UI/UX and tests</x:v>
      </x:c>
      <x:c r="F9" s="26" t="str">
        <x:v>Accepted</x:v>
      </x:c>
      <x:c r="G9" s="26" t="str">
        <x:v>SYNC-003</x:v>
      </x:c>
      <x:c r="H9" s="26" t="str">
        <x:v>https://github.com/RohithTadiparti/world-of-weddingz-production/pull/77</x:v>
      </x:c>
      <x:c r="I9" s="26" t="str">
        <x:v>Codex</x:v>
      </x:c>
      <x:c r="J9" s="29" t="str">
        <x:v>2026-10-06</x:v>
      </x:c>
      <x:c r="K9" s="26" t="str">
        <x:v>WOW-MD PR 50 published the reviewed 07218b4..8a147a6 UI line; production accepts only the reconciled frontend paths</x:v>
      </x:c>
    </x:row>
    <x:row r="10" ht="30" customHeight="1">
      <x:c r="A10" s="26" t="str">
        <x:v>CHG-005</x:v>
      </x:c>
      <x:c r="B10" s="26" t="str">
        <x:v>RohithTadiparti/WOW-MD</x:v>
      </x:c>
      <x:c r="C10" s="26" t="str">
        <x:v>2ddfaf6b6d55d3e4833f905565d5048f3cd9c010</x:v>
      </x:c>
      <x:c r="D10" s="26" t="str">
        <x:v>docker/docker-compose.preview.yml; docs/wow-consumer-portal-design-preview.html</x:v>
      </x:c>
      <x:c r="E10" s="26" t="str">
        <x:v>Preview-only source artifacts</x:v>
      </x:c>
      <x:c r="F10" s="26" t="str">
        <x:v>Rejected for production</x:v>
      </x:c>
      <x:c r="G10" s="26" t="str">
        <x:v>SYNC-003</x:v>
      </x:c>
      <x:c r="H10" s="26" t="str">
        <x:v>https://github.com/RohithTadiparti/world-of-weddingz-production/pull/77</x:v>
      </x:c>
      <x:c r="I10" s="26" t="str">
        <x:v>Codex</x:v>
      </x:c>
      <x:c r="J10" s="29" t="str">
        <x:v>2026-10-06</x:v>
      </x:c>
      <x:c r="K10" s="26" t="str">
        <x:v>Remain in WOW-MD for design preview use; not part of the production deployment line</x:v>
      </x:c>
    </x:row>
    <x:row r="11" ht="30" customHeight="1">
      <x:c r="A11" s="26" t="str">
        <x:v>CHG-006</x:v>
      </x:c>
      <x:c r="B11" s="26" t="str">
        <x:v>RohithTadiparti/WOW-MD</x:v>
      </x:c>
      <x:c r="C11" s="26" t="str">
        <x:v>51790dfa57126a64e31e5b605ddccca85cd09b85</x:v>
      </x:c>
      <x:c r="D11" s="26" t="str">
        <x:v>frontend/package-lock.json</x:v>
      </x:c>
      <x:c r="E11" s="26" t="str">
        <x:v>Dependency lockfile</x:v>
      </x:c>
      <x:c r="F11" s="26" t="str">
        <x:v>Accepted</x:v>
      </x:c>
      <x:c r="G11" s="26" t="str">
        <x:v>DEP-001</x:v>
      </x:c>
      <x:c r="H11" s="26" t="str">
        <x:v>https://github.com/RohithTadiparti/world-of-weddingz-production/pull/81</x:v>
      </x:c>
      <x:c r="I11" s="26" t="str">
        <x:v>Codex</x:v>
      </x:c>
      <x:c r="J11" s="29" t="str">
        <x:v>2026-10-06</x:v>
      </x:c>
      <x:c r="K11" s="26" t="str">
        <x:v>WOW-MD PR 49 and production PRs 79 and 81 reconcile source-map-js 1.2.2 and the exact frontend lock graph</x:v>
      </x:c>
    </x:row>
    <x:row r="12" ht="30" customHeight="1">
      <x:c r="A12" s="26" t="str">
        <x:v>CHG-007</x:v>
      </x:c>
      <x:c r="B12" s="26" t="str">
        <x:v>RohithTadiparti/WOW-MD</x:v>
      </x:c>
      <x:c r="C12" s="26" t="str">
        <x:v>d3d66eae45ddefc262121f356b36ddfa94516baf</x:v>
      </x:c>
      <x:c r="D12" s="26" t="str">
        <x:v>backend/; frontend/; mobile/; docker/; terraform/; .github/workflows/</x:v>
      </x:c>
      <x:c r="E12" s="26" t="str">
        <x:v>Dependency and compatibility rollup</x:v>
      </x:c>
      <x:c r="F12" s="26" t="str">
        <x:v>Accepted</x:v>
      </x:c>
      <x:c r="G12" s="26" t="str">
        <x:v>DEP-002</x:v>
      </x:c>
      <x:c r="H12" s="26" t="str">
        <x:v>https://github.com/RohithTadiparti/world-of-weddingz-production/pull/83</x:v>
      </x:c>
      <x:c r="I12" s="26" t="str">
        <x:v>Codex</x:v>
      </x:c>
      <x:c r="J12" s="29" t="str">
        <x:v>2026-10-06</x:v>
      </x:c>
      <x:c r="K12" s="26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26" t="str">
        <x:v>CHG-008</x:v>
      </x:c>
      <x:c r="B13" s="26" t="str">
        <x:v>RohithTadiparti/WOW-MD</x:v>
      </x:c>
      <x:c r="C13" s="26" t="str">
        <x:v>b373bb48e389a3456a98db12e1c880b901b75e49</x:v>
      </x:c>
      <x:c r="D13" s="26" t="str">
        <x:v>backend/package-lock.json; docker/Dockerfile; docker/Dockerfile.frontend; terraform/eks.tf; terraform/rds.tf; .github/workflows/</x:v>
      </x:c>
      <x:c r="E13" s="26" t="str">
        <x:v>Dependency and infrastructure mirrors</x:v>
      </x:c>
      <x:c r="F13" s="26" t="str">
        <x:v>Accepted</x:v>
      </x:c>
      <x:c r="G13" s="26" t="str">
        <x:v>DEP-003</x:v>
      </x:c>
      <x:c r="H13" s="26" t="str">
        <x:v>https://github.com/RohithTadiparti/world-of-weddingz-production/pull/84</x:v>
      </x:c>
      <x:c r="I13" s="26" t="str">
        <x:v>Codex</x:v>
      </x:c>
      <x:c r="J13" s="29" t="str">
        <x:v>2026-10-06</x:v>
      </x:c>
      <x:c r="K13" s="26" t="str">
        <x:v>WOW-MD PRs 18 20 21 22 27 and 53; production-only governance and source-review workflows receive the same reviewed action majors</x:v>
      </x:c>
    </x:row>
    <x:row r="14" ht="30" customHeight="1">
      <x:c r="A14" s="27" t="str">
        <x:v>CHG-009</x:v>
      </x:c>
      <x:c r="B14" s="27" t="str">
        <x:v>RohithTadiparti/WOW-MD</x:v>
      </x:c>
      <x:c r="C14" s="27" t="str">
        <x:v>4b58009d505a162520cf21a4518f636df293f6e2</x:v>
      </x:c>
      <x:c r="D14" s="27" t="str">
        <x:v>backend/package.json; backend/package-lock.json; .github/workflows/ci.yml</x:v>
      </x:c>
      <x:c r="E14" s="27" t="str">
        <x:v>Runtime dependency correction</x:v>
      </x:c>
      <x:c r="F14" s="27" t="str">
        <x:v>Accepted</x:v>
      </x:c>
      <x:c r="G14" s="27" t="str">
        <x:v>DEP-004</x:v>
      </x:c>
      <x:c r="H14" s="27" t="str">
        <x:v>https://github.com/RohithTadiparti/world-of-weddingz-production/pull/88</x:v>
      </x:c>
      <x:c r="I14" s="27" t="str">
        <x:v>Codex</x:v>
      </x:c>
      <x:c r="J14" s="30" t="str">
        <x:v>2026-10-06</x:v>
      </x:c>
      <x:c r="K14" s="27" t="str">
        <x:v>WOW-MD PRs 54 and 55; Express 4.22.1 is a production dependency because dist/main.js imports it directly and the built runtime image verifies it can resolve the package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39aa16639acf40d8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25" t="str">
        <x:v>Merged</x:v>
      </x:c>
      <x:c r="L6" s="28" t="str">
        <x:v>2026-10-05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26" t="str">
        <x:v>Merged</x:v>
      </x:c>
      <x:c r="L7" s="29" t="str">
        <x:v>2026-10-05</x:v>
      </x:c>
    </x:row>
    <x:row r="8" ht="30" customHeight="1">
      <x:c r="A8" s="26" t="str">
        <x:v>SEC-001</x:v>
      </x:c>
      <x:c r="B8" s="26" t="str">
        <x:v>https://github.com/RohithTadiparti/world-of-weddingz-production/pull/58</x:v>
      </x:c>
      <x:c r="C8" s="26" t="str">
        <x:v>codex/sec-001-sso-login-policy</x:v>
      </x:c>
      <x:c r="D8" s="26" t="str">
        <x:v>29537ee</x:v>
      </x:c>
      <x:c r="E8" s="26" t="str">
        <x:v>3eaa03c</x:v>
      </x:c>
      <x:c r="F8" s="26" t="str">
        <x:v>WOW-MD PR 38 head f685774</x:v>
      </x:c>
      <x:c r="G8" s="26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26" t="str">
        <x:v>At the final release gate configure exact Zoho OAuth client/callback domain SPF DKIM DMARC sender mailbox and SMTP application password; then run controlled admin/non-admin SSO and email tests</x:v>
      </x:c>
      <x:c r="I8" s="26" t="str">
        <x:v>Restore the prior image/config and disable Zoho SSO; do not enable passwordless OTP or log-based mail in public tier</x:v>
      </x:c>
      <x:c r="J8" s="26" t="str">
        <x:v>Production Zoho credentials/DNS and live-provider evidence are intentionally deferred to the final release gate</x:v>
      </x:c>
      <x:c r="K8" s="26" t="str">
        <x:v>Merged</x:v>
      </x:c>
      <x:c r="L8" s="29" t="str">
        <x:v>2026-10-05</x:v>
      </x:c>
    </x:row>
    <x:row r="9" ht="30" customHeight="1">
      <x:c r="A9" s="26" t="str">
        <x:v>SYNC-002</x:v>
      </x:c>
      <x:c r="B9" s="26" t="str">
        <x:v>https://github.com/RohithTadiparti/world-of-weddingz-production/pull/55</x:v>
      </x:c>
      <x:c r="C9" s="26" t="str">
        <x:v>codex/sync-002-gated-source-review</x:v>
      </x:c>
      <x:c r="D9" s="26" t="str">
        <x:v>57e13d0</x:v>
      </x:c>
      <x:c r="E9" s="26" t="str">
        <x:v>422cbc4</x:v>
      </x:c>
      <x:c r="F9" s="26" t="str">
        <x:v>07218b4..de7d8dd local review only</x:v>
      </x:c>
      <x:c r="G9" s="26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6" t="str">
        <x:v>Add read-only WOW_SYNC_TOKEN then run the scheduled workflow once; no application or hosting deployment</x:v>
      </x:c>
      <x:c r="I9" s="26" t="str">
        <x:v>Revert PR 55 and remove WOW_SYNC_TOKEN; source and production histories remain unchanged</x:v>
      </x:c>
      <x:c r="J9" s="26" t="str">
        <x:v>Private-source token is not configured; local/unpushed source commits remain intentionally invisible to GitHub Actions</x:v>
      </x:c>
      <x:c r="K9" s="26" t="str">
        <x:v>Merged</x:v>
      </x:c>
      <x:c r="L9" s="29" t="str">
        <x:v>2026-10-05</x:v>
      </x:c>
    </x:row>
    <x:row r="10" ht="30" customHeight="1">
      <x:c r="A10" s="26" t="str">
        <x:v>DEP-001</x:v>
      </x:c>
      <x:c r="B10" s="26" t="str">
        <x:v>https://github.com/RohithTadiparti/world-of-weddingz-production/pull/59</x:v>
      </x:c>
      <x:c r="C10" s="26" t="str">
        <x:v>codex/dep-001-dependency-remediation</x:v>
      </x:c>
      <x:c r="D10" s="26" t="str">
        <x:v>29537ee</x:v>
      </x:c>
      <x:c r="E10" s="26" t="str">
        <x:v>1ecbfdf</x:v>
      </x:c>
      <x:c r="F10" s="26" t="str">
        <x:v>WOW-MD PR 39 head d8ef995; WOW-MD PR 49 merged as 51790df; supplemental production PRs 73, 79, and 81</x:v>
      </x:c>
      <x:c r="G10" s="26" t="str">
        <x:v>Backend and frontend production audits have no high or critical findings; frontend clean install typecheck 180 tests build passed on PR 81; exact frontend trees match</x:v>
      </x:c>
      <x:c r="H10" s="26" t="str">
        <x:v>Merged; no runtime deployment is required for the PR 81 development-only lock reconciliation; retain normal rebuild verification</x:v>
      </x:c>
      <x:c r="I10" s="26" t="str">
        <x:v>Revert the affected supplemental PR and restore its paired WOW-MD lockfile if clean install or build regresses</x:v>
      </x:c>
      <x:c r="J10" s="26" t="str">
        <x:v>Three moderate mammoth-chain findings and four exact no-fix Expo advisory roots remain; forced breaking downgrades remain rejected</x:v>
      </x:c>
      <x:c r="K10" s="26" t="str">
        <x:v>Merged</x:v>
      </x:c>
      <x:c r="L10" s="29" t="str">
        <x:v>2026-10-06</x:v>
      </x:c>
    </x:row>
    <x:row r="11" ht="30" customHeight="1">
      <x:c r="A11" s="26" t="str">
        <x:v>GOV-003</x:v>
      </x:c>
      <x:c r="B11" s="26" t="str">
        <x:v>https://github.com/RohithTadiparti/world-of-weddingz-production/pull/61</x:v>
      </x:c>
      <x:c r="C11" s="26" t="str">
        <x:v>codex/gov-003-auth-dependency-tracking</x:v>
      </x:c>
      <x:c r="D11" s="26" t="str">
        <x:v>29537ee</x:v>
      </x:c>
      <x:c r="E11" s="26" t="str">
        <x:v>1235cd3</x:v>
      </x:c>
      <x:c r="F11" s="26" t="str">
        <x:v>SEC-001 PR 58 and DEP-001 PR 59 evidence only</x:v>
      </x:c>
      <x:c r="G11" s="26" t="str">
        <x:v>Register validator workbook regeneration and formula-error scan pass; dashboard visually reviewed</x:v>
      </x:c>
      <x:c r="H11" s="26" t="str">
        <x:v>Governance and documentation only; no application or hosting deployment</x:v>
      </x:c>
      <x:c r="I11" s="26" t="str">
        <x:v>Revert PR 61; implementation PRs and their evidence remain unchanged</x:v>
      </x:c>
      <x:c r="J11" s="26" t="str">
        <x:v>Implementation PRs still require review/merge and GitHub rescan; Zoho live configuration remains a final release gate</x:v>
      </x:c>
      <x:c r="K11" s="26" t="str">
        <x:v>Merged</x:v>
      </x:c>
      <x:c r="L11" s="29" t="str">
        <x:v>2026-10-05</x:v>
      </x:c>
    </x:row>
    <x:row r="12" ht="30" customHeight="1">
      <x:c r="A12" s="26" t="str">
        <x:v>SEC-002</x:v>
      </x:c>
      <x:c r="B12" s="26" t="str">
        <x:v>https://github.com/RohithTadiparti/world-of-weddingz-production/pull/62</x:v>
      </x:c>
      <x:c r="C12" s="26" t="str">
        <x:v>codex/sec-002-websocket-authorization</x:v>
      </x:c>
      <x:c r="D12" s="26" t="str">
        <x:v>29537ee</x:v>
      </x:c>
      <x:c r="E12" s="26" t="str">
        <x:v>4c5e7b4</x:v>
      </x:c>
      <x:c r="F12" s="26" t="str">
        <x:v>WOW-MD PR 40 head 9265a27</x:v>
      </x:c>
      <x:c r="G12" s="26" t="str">
        <x:v>11 focused chat/admin gateway tests; backend typecheck and lint; complete backend suite 800 passed with 9 skipped</x:v>
      </x:c>
      <x:c r="H12" s="26" t="str">
        <x:v>Set exact CORS_ORIGINS and smoke-test browser/native reconnect on the Railway candidate; no schema migration</x:v>
      </x:c>
      <x:c r="I12" s="26" t="str">
        <x:v>Revert PR 62; REST chat remains available while socket traffic is paused</x:v>
      </x:c>
      <x:c r="J12" s="26" t="str">
        <x:v>Native clients are allowed without an Origin header and remain protected by bearer-token/account checks; Railway cross-origin smoke evidence remains pending</x:v>
      </x:c>
      <x:c r="K12" s="26" t="str">
        <x:v>Merged</x:v>
      </x:c>
      <x:c r="L12" s="29" t="str">
        <x:v>2026-10-05</x:v>
      </x:c>
    </x:row>
    <x:row r="13" ht="30" customHeight="1">
      <x:c r="A13" s="26" t="str">
        <x:v>SEC-003</x:v>
      </x:c>
      <x:c r="B13" s="26" t="str">
        <x:v>https://github.com/RohithTadiparti/world-of-weddingz-production/pull/63</x:v>
      </x:c>
      <x:c r="C13" s="26" t="str">
        <x:v>codex/sec-003-http-migration-integrity</x:v>
      </x:c>
      <x:c r="D13" s="26" t="str">
        <x:v>29537ee</x:v>
      </x:c>
      <x:c r="E13" s="26" t="str">
        <x:v>80ef902</x:v>
      </x:c>
      <x:c r="F13" s="26" t="str">
        <x:v>WOW-MD PR 41 head ef13ff5</x:v>
      </x:c>
      <x:c r="G13" s="26" t="str">
        <x:v>2 HTTP policy tests; 2 migration verifier tests; 93 files unique; backend typecheck/lint and 794 tests with 9 skipped; upgraded wow_db and fresh 93-migration database passed</x:v>
      </x:c>
      <x:c r="H13" s="26" t="str">
        <x:v>Run migrations before application rollout and verify headers through the Railway ingress</x:v>
      </x:c>
      <x:c r="I13" s="26" t="str">
        <x:v>Revert application/header changes but retain applied migration history and safe schema additions for roll-forward</x:v>
      </x:c>
      <x:c r="J13" s="26" t="str">
        <x:v>Historical databases retain old collision rows plus new idempotent reconciliation rows; ingress evidence remains pending</x:v>
      </x:c>
      <x:c r="K13" s="26" t="str">
        <x:v>Merged</x:v>
      </x:c>
      <x:c r="L13" s="29" t="str">
        <x:v>2026-10-05</x:v>
      </x:c>
    </x:row>
    <x:row r="14" ht="30" customHeight="1">
      <x:c r="A14" s="26" t="str">
        <x:v>OPS-001</x:v>
      </x:c>
      <x:c r="B14" s="26" t="str">
        <x:v>https://github.com/RohithTadiparti/world-of-weddingz-production/pull/64</x:v>
      </x:c>
      <x:c r="C14" s="26" t="str">
        <x:v>codex/ops-001-replicated-jobs</x:v>
      </x:c>
      <x:c r="D14" s="26" t="str">
        <x:v>57e13d0</x:v>
      </x:c>
      <x:c r="E14" s="26" t="str">
        <x:v>2bf76a1</x:v>
      </x:c>
      <x:c r="F14" s="26" t="str">
        <x:v>WOW-MD commit a06067a; PR 42</x:v>
      </x:c>
      <x:c r="G14" s="26" t="str">
        <x:v>Focused replica tests 7 of 7; backend full suite 797 passed 9 skipped; typecheck and lint passed</x:v>
      </x:c>
      <x:c r="H14" s="26" t="str">
        <x:v>Deploy normally after approval; verify two replicas produce one owner and one skipped invocation for outbox and payout/reminder jobs</x:v>
      </x:c>
      <x:c r="I14" s="26" t="str">
        <x:v>Revert PR 64 and redeploy; no database or configuration rollback</x:v>
      </x:c>
      <x:c r="J14" s="26" t="str">
        <x:v>Outbox delivery is at-least-once if a worker dies after an external side effect and before processedAt; downstream Kafka consumers must honor the outbox UUID idempotency key</x:v>
      </x:c>
      <x:c r="K14" s="26" t="str">
        <x:v>Merged</x:v>
      </x:c>
      <x:c r="L14" s="29" t="str">
        <x:v>2026-10-05</x:v>
      </x:c>
    </x:row>
    <x:row r="15" ht="30" customHeight="1">
      <x:c r="A15" s="26" t="str">
        <x:v>OBS-001</x:v>
      </x:c>
      <x:c r="B15" s="26" t="str">
        <x:v>https://github.com/RohithTadiparti/world-of-weddingz-production/pull/69</x:v>
      </x:c>
      <x:c r="C15" s="26" t="str">
        <x:v>codex/obs-001-backend-observability</x:v>
      </x:c>
      <x:c r="D15" s="26" t="str">
        <x:v>122ae2d</x:v>
      </x:c>
      <x:c r="E15" s="26" t="str">
        <x:v>9d34f68</x:v>
      </x:c>
      <x:c r="F15" s="26" t="str">
        <x:v>WOW-MD PR 43 merged as 2db719b</x:v>
      </x:c>
      <x:c r="G15" s="26" t="str">
        <x:v>Focused observability and replica-lock integration 27 of 27; backend typecheck and lint plus nginx contract passed; protected CI recorded on PR 69</x:v>
      </x:c>
      <x:c r="H15" s="26" t="str">
        <x:v>Set RELEASE; keep QA capture disabled; confirm a live request ID matches response backend and nginx logs</x:v>
      </x:c>
      <x:c r="I15" s="26" t="str">
        <x:v>Revert PR 69 and redeploy; remove optional observability variables; no database rollback</x:v>
      </x:c>
      <x:c r="J15" s="26" t="str">
        <x:v>OBS-002 client error intake and OBS-003 Loki Vector host files 30-day retention remain open; live provider correlation smoke remains</x:v>
      </x:c>
      <x:c r="K15" s="26" t="str">
        <x:v>Merged</x:v>
      </x:c>
      <x:c r="L15" s="29" t="str">
        <x:v>2026-10-05</x:v>
      </x:c>
    </x:row>
    <x:row r="16" ht="30" customHeight="1">
      <x:c r="A16" s="26" t="str">
        <x:v>OBS-003</x:v>
      </x:c>
      <x:c r="B16" s="26" t="str">
        <x:v>https://github.com/RohithTadiparti/world-of-weddingz-production/pull/71</x:v>
      </x:c>
      <x:c r="C16" s="26" t="str">
        <x:v>codex/obs-003-local-log-platform</x:v>
      </x:c>
      <x:c r="D16" s="26" t="str">
        <x:v>dd39ccc</x:v>
      </x:c>
      <x:c r="E16" s="26" t="str">
        <x:v>0d1e02f</x:v>
      </x:c>
      <x:c r="F16" s="26" t="str">
        <x:v>WOW-MD PR 48 merged as 7384378</x:v>
      </x:c>
      <x:c r="G16" s="26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26" t="str">
        <x:v>Set WOW_LOG_DIR and a unique GRAFANA_ADMIN_PASSWORD; start the observability Compose profile; Grafana binds to 127.0.0.1:3300</x:v>
      </x:c>
      <x:c r="I16" s="26" t="str">
        <x:v>Stop/remove observability containers and revert PR 71; retained host logs are not automatically deleted; application services remain independent</x:v>
      </x:c>
      <x:c r="J16" s="26" t="str">
        <x:v>Single-host logs are not disaster recovery; Vector outage has only bounded Docker fallback and no guaranteed backfill; remote Loki and external alert recipients remain operator configuration</x:v>
      </x:c>
      <x:c r="K16" s="26" t="str">
        <x:v>Merged</x:v>
      </x:c>
      <x:c r="L16" s="29" t="str">
        <x:v>2026-10-06</x:v>
      </x:c>
    </x:row>
    <x:row r="17" ht="30" customHeight="1">
      <x:c r="A17" s="26" t="str">
        <x:v>CFG-001</x:v>
      </x:c>
      <x:c r="B17" s="26" t="str">
        <x:v>https://github.com/RohithTadiparti/world-of-weddingz-production/pull/72</x:v>
      </x:c>
      <x:c r="C17" s="26" t="str">
        <x:v>codex/cfg-001-platform-config</x:v>
      </x:c>
      <x:c r="D17" s="26" t="str">
        <x:v>568b4a8</x:v>
      </x:c>
      <x:c r="E17" s="26" t="str">
        <x:v>8efb49c</x:v>
      </x:c>
      <x:c r="F17" s="26" t="str">
        <x:v>WOW-MD PR 46 merged as 9135e2f</x:v>
      </x:c>
      <x:c r="G17" s="26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26" t="str">
        <x:v>Merged after OBS-003 PR 71; retain secrets in environment or secret stores; public tiers must provide S3 bucket secure cookies and disabled Swagger</x:v>
      </x:c>
      <x:c r="I17" s="26" t="str">
        <x:v>Revert PR 72 and rebuild; all pre-existing environment variables remain compatible and no database rollback is required</x:v>
      </x:c>
      <x:c r="J17" s="26" t="str">
        <x:v>Public and revenue validation deliberately refuses unsafe provider combinations; existing moderate or low framework-chain dependency findings remain outside this change</x:v>
      </x:c>
      <x:c r="K17" s="26" t="str">
        <x:v>Merged</x:v>
      </x:c>
      <x:c r="L17" s="29" t="str">
        <x:v>2026-10-06</x:v>
      </x:c>
    </x:row>
    <x:row r="18" ht="30" customHeight="1">
      <x:c r="A18" s="26" t="str">
        <x:v>SYNC-003</x:v>
      </x:c>
      <x:c r="B18" s="26" t="str">
        <x:v>https://github.com/RohithTadiparti/world-of-weddingz-production/pull/77</x:v>
      </x:c>
      <x:c r="C18" s="26" t="str">
        <x:v>codex/sync-003-consumer-ui</x:v>
      </x:c>
      <x:c r="D18" s="26" t="str">
        <x:v>3e05702</x:v>
      </x:c>
      <x:c r="E18" s="26" t="str">
        <x:v>83c2400</x:v>
      </x:c>
      <x:c r="F18" s="26" t="str">
        <x:v>WOW-MD PR 50 merged as 2ddfaf6; reviewed local source range 07218b4..8a147a6</x:v>
      </x:c>
      <x:c r="G18" s="26" t="str">
        <x:v>Frontend typecheck; 19 test files and 180 tests; production build; protected backend suite and E2E frontend mobile Docker CodeQL secrets and governance checks passed</x:v>
      </x:c>
      <x:c r="H18" s="26" t="str">
        <x:v>Merged; rebuild and deploy only the frontend image then smoke public home login registration and bride groom family navigation</x:v>
      </x:c>
      <x:c r="I18" s="26" t="str">
        <x:v>Revert PR 77 and rebuild the frontend image; no database configuration or infrastructure rollback</x:v>
      </x:c>
      <x:c r="J18" s="26" t="str">
        <x:v>Live post-deployment visual and role smoke remains; main client bundle is about 1.9 MB raw and 505 KB gzip; source-only preview artifacts were rejected</x:v>
      </x:c>
      <x:c r="K18" s="26" t="str">
        <x:v>Merged</x:v>
      </x:c>
      <x:c r="L18" s="29" t="str">
        <x:v>2026-10-06</x:v>
      </x:c>
    </x:row>
    <x:row r="19" ht="30" customHeight="1">
      <x:c r="A19" s="26" t="str">
        <x:v>DEP-002</x:v>
      </x:c>
      <x:c r="B19" s="26" t="str">
        <x:v>https://github.com/RohithTadiparti/world-of-weddingz-production/pull/83</x:v>
      </x:c>
      <x:c r="C19" s="26" t="str">
        <x:v>codex/dep-002-dependency-rollup</x:v>
      </x:c>
      <x:c r="D19" s="26" t="str">
        <x:v>9e8aac5</x:v>
      </x:c>
      <x:c r="E19" s="26" t="str">
        <x:v>8c2ebf8</x:v>
      </x:c>
      <x:c r="F19" s="26" t="str">
        <x:v>WOW-MD PR 52 merged as d3d66ea; source heads 882a904 05b92a7 896cebf 752a340 f0b0237</x:v>
      </x:c>
      <x:c r="G19" s="26" t="str">
        <x:v>Backend typecheck lint 837 tests build and clean production audit; E2E 51 of 51 including real Chrome; frontend typecheck 180 tests build; mobile audit typecheck Android export; source Docker and CodeQL green</x:v>
      </x:c>
      <x:c r="H19" s="26" t="str">
        <x:v>Build backend and frontend images; run migrations before rollout; smoke health public entry sign-in biodata upload and an authenticated role page</x:v>
      </x:c>
      <x:c r="I19" s="26" t="str">
        <x:v>Revert PR 83 and rebuild previous Node 20 Nest 10 React 18 images; no database rollback</x:v>
      </x:c>
      <x:c r="J19" s="26" t="str">
        <x:v>ioredis 6 and Expo Router 58 remain rejected until their TypeORM and Expo SDK peer lines move; Terraform CLI unavailable locally</x:v>
      </x:c>
      <x:c r="K19" s="26" t="str">
        <x:v>Merged</x:v>
      </x:c>
      <x:c r="L19" s="29" t="str">
        <x:v>2026-10-06</x:v>
      </x:c>
    </x:row>
    <x:row r="20" ht="30" customHeight="1">
      <x:c r="A20" s="26" t="str">
        <x:v>DEP-003</x:v>
      </x:c>
      <x:c r="B20" s="26" t="str">
        <x:v>https://github.com/RohithTadiparti/world-of-weddingz-production/pull/84</x:v>
      </x:c>
      <x:c r="C20" s="26" t="str">
        <x:v>dependabot/npm_and_yarn/backend/glob-10.5.0</x:v>
      </x:c>
      <x:c r="D20" s="26" t="str">
        <x:v>0935ede</x:v>
      </x:c>
      <x:c r="E20" s="26" t="str">
        <x:v>8b5a62b</x:v>
      </x:c>
      <x:c r="F20" s="26" t="str">
        <x:v>WOW-MD PRs 18 20 21 22 27 and 53; reviewed through b373bb4</x:v>
      </x:c>
      <x:c r="G20" s="26" t="str">
        <x:v>Production backend E2E frontend mobile Docker CodeQL secrets and governance passed on the final head; local governance 10 of 10 and Node 26 backend plus nginx 1.31 frontend image builds passed</x:v>
      </x:c>
      <x:c r="H20" s="26" t="str">
        <x:v>Rebuild backend and frontend images with Node 26 and nginx 1.31; no application schema change</x:v>
      </x:c>
      <x:c r="I20" s="26" t="str">
        <x:v>Revert PR 84 and rebuild previous images; no database rollback</x:v>
      </x:c>
      <x:c r="J20" s="26" t="str">
        <x:v>Terraform provider and module constraints still require plan evidence before AWS apply</x:v>
      </x:c>
      <x:c r="K20" s="26" t="str">
        <x:v>Merged</x:v>
      </x:c>
      <x:c r="L20" s="29" t="str">
        <x:v>2026-10-06</x:v>
      </x:c>
    </x:row>
    <x:row r="21" ht="30" customHeight="1">
      <x:c r="A21" s="27" t="str">
        <x:v>DEP-004</x:v>
      </x:c>
      <x:c r="B21" s="27" t="str">
        <x:v>https://github.com/RohithTadiparti/world-of-weddingz-production/pull/88</x:v>
      </x:c>
      <x:c r="C21" s="27" t="str">
        <x:v>codex/dep-003-express-runtime</x:v>
      </x:c>
      <x:c r="D21" s="27" t="str">
        <x:v>5a8d62a</x:v>
      </x:c>
      <x:c r="E21" s="27" t="str">
        <x:v>5a0a402</x:v>
      </x:c>
      <x:c r="F21" s="27" t="str">
        <x:v>WOW-MD PR 54 merged as 68f6ecb; runtime regression gate PR 55 merged as 4b58009</x:v>
      </x:c>
      <x:c r="G21" s="27" t="str">
        <x:v>Production protected backend E2E frontend mobile Docker CodeQL secrets and governance checks passed; the final runtime image resolves Express; repaired local and tunneled health returned 200</x:v>
      </x:c>
      <x:c r="H21" s="27" t="str">
        <x:v>Rebuild the backend image and verify local plus tunneled health before rollout</x:v>
      </x:c>
      <x:c r="I21" s="27" t="str">
        <x:v>Revert PR 88 and rebuild the prior image; no database rollback</x:v>
      </x:c>
      <x:c r="J21" s="27" t="str">
        <x:v>The targeted image check covers the discovered dependency; a full startup smoke still requires PostgreSQL Redis and provider configuration</x:v>
      </x:c>
      <x:c r="K21" s="27" t="str">
        <x:v>Merged</x:v>
      </x:c>
      <x:c r="L21" s="30" t="str">
        <x:v>2026-10-06</x:v>
      </x:c>
    </x:row>
  </x:sheetData>
  <x:mergeCells>
    <x:mergeCell ref="A3:L3"/>
  </x:mergeCells>
  <x:conditionalFormatting sqref="K6:K21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677e4d2ca39d4efc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6" t="str">
        <x:v>DOC-015</x:v>
      </x:c>
      <x:c r="B20" s="26" t="str">
        <x:v>Zoho SSO and mail operating guide</x:v>
      </x:c>
      <x:c r="C20" s="26" t="str">
        <x:v>docs/operations/zoho-mail.md</x:v>
      </x:c>
      <x:c r="D20" s="26" t="str">
        <x:v>Security and operations</x:v>
      </x:c>
      <x:c r="E20" s="26" t="str">
        <x:v>Approved candidate</x:v>
      </x:c>
      <x:c r="F20" s="26" t="str">
        <x:v>Quarterly or provider change</x:v>
      </x:c>
      <x:c r="G20" s="26" t="str">
        <x:v>2026-10-05</x:v>
      </x:c>
      <x:c r="H20" s="26" t="str">
        <x:v>SEC-001 AUTH-001 OPS-003</x:v>
      </x:c>
    </x:row>
    <x:row r="21" ht="30" customHeight="1">
      <x:c r="A21" s="27" t="str">
        <x:v>DOC-016</x:v>
      </x:c>
      <x:c r="B21" s="27" t="str">
        <x:v>Dependency remediation record</x:v>
      </x:c>
      <x:c r="C21" s="27" t="str">
        <x:v>docs/security/dependency-remediation-2026-10-04.md</x:v>
      </x:c>
      <x:c r="D21" s="27" t="str">
        <x:v>Security</x:v>
      </x:c>
      <x:c r="E21" s="27" t="str">
        <x:v>Approved candidate</x:v>
      </x:c>
      <x:c r="F21" s="27" t="str">
        <x:v>Each dependency change</x:v>
      </x:c>
      <x:c r="G21" s="27" t="str">
        <x:v>2026-10-05</x:v>
      </x:c>
      <x:c r="H21" s="27" t="str">
        <x:v>DEP-001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9eb44f698a94ffe"/>
  </x:tableParts>
</x:worksheet>
</file>