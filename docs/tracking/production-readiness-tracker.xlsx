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c59d3bf3c3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51f0dcebb8c4564"/>
    <x:sheet xmlns:r="http://schemas.openxmlformats.org/officeDocument/2006/relationships" name="Open Items" sheetId="2" r:id="R10f101f80ae244f3"/>
    <x:sheet xmlns:r="http://schemas.openxmlformats.org/officeDocument/2006/relationships" name="Requirements" sheetId="3" r:id="R93d544ffe1a048e3"/>
    <x:sheet xmlns:r="http://schemas.openxmlformats.org/officeDocument/2006/relationships" name="Test Inventory" sheetId="4" r:id="R73bba5174fb64ac5"/>
    <x:sheet xmlns:r="http://schemas.openxmlformats.org/officeDocument/2006/relationships" name="Risks" sheetId="5" r:id="R543fe53153cc4722"/>
    <x:sheet xmlns:r="http://schemas.openxmlformats.org/officeDocument/2006/relationships" name="Access" sheetId="6" r:id="R010d1b0bc7c94a63"/>
    <x:sheet xmlns:r="http://schemas.openxmlformats.org/officeDocument/2006/relationships" name="Release Gates" sheetId="7" r:id="Reee767fa075d4ba0"/>
    <x:sheet xmlns:r="http://schemas.openxmlformats.org/officeDocument/2006/relationships" name="Change Intake" sheetId="8" r:id="R5e6b91a54f9244c8"/>
    <x:sheet xmlns:r="http://schemas.openxmlformats.org/officeDocument/2006/relationships" name="PR Handoffs" sheetId="9" r:id="R971ddacccde043ee"/>
    <x:sheet xmlns:r="http://schemas.openxmlformats.org/officeDocument/2006/relationships" name="Documents" sheetId="10" r:id="Rbeeff43b8e2448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608c138c0f4bfc" /><Relationship Type="http://schemas.openxmlformats.org/officeDocument/2006/relationships/theme" Target="/xl/theme/theme1.xml" Id="Rc04a9475124d4189" /><Relationship Type="http://schemas.openxmlformats.org/officeDocument/2006/relationships/sharedStrings" Target="/xl/sharedStrings.xml" Id="Rd13e79963057490c" /><Relationship Type="http://schemas.openxmlformats.org/officeDocument/2006/relationships/worksheet" Target="/xl/worksheets/sheet1.xml" Id="Rd51f0dcebb8c4564" /><Relationship Type="http://schemas.openxmlformats.org/officeDocument/2006/relationships/worksheet" Target="/xl/worksheets/sheet2.xml" Id="R10f101f80ae244f3" /><Relationship Type="http://schemas.openxmlformats.org/officeDocument/2006/relationships/worksheet" Target="/xl/worksheets/sheet3.xml" Id="R93d544ffe1a048e3" /><Relationship Type="http://schemas.openxmlformats.org/officeDocument/2006/relationships/worksheet" Target="/xl/worksheets/sheet4.xml" Id="R73bba5174fb64ac5" /><Relationship Type="http://schemas.openxmlformats.org/officeDocument/2006/relationships/worksheet" Target="/xl/worksheets/sheet5.xml" Id="R543fe53153cc4722" /><Relationship Type="http://schemas.openxmlformats.org/officeDocument/2006/relationships/worksheet" Target="/xl/worksheets/sheet6.xml" Id="R010d1b0bc7c94a63" /><Relationship Type="http://schemas.openxmlformats.org/officeDocument/2006/relationships/worksheet" Target="/xl/worksheets/sheet7.xml" Id="Reee767fa075d4ba0" /><Relationship Type="http://schemas.openxmlformats.org/officeDocument/2006/relationships/worksheet" Target="/xl/worksheets/sheet8.xml" Id="R5e6b91a54f9244c8" /><Relationship Type="http://schemas.openxmlformats.org/officeDocument/2006/relationships/worksheet" Target="/xl/worksheets/sheet9.xml" Id="R971ddacccde043ee" /><Relationship Type="http://schemas.openxmlformats.org/officeDocument/2006/relationships/worksheet" Target="/xl/worksheets/sheet10.xml" Id="Rbeeff43b8e2448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8a5bb9b0f3453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8a5bb9b0f3453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6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6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3feac246e54c6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9a6f2f14964b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3905f3766e4e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0ebb62338441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c60f515c75459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6728e85a60e408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eeb6dc5baa349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3568de0833e44d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08020a90aa546f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e38b40737444ae5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private production repository.</x:v>
      </x:c>
    </x:row>
    <x:row r="5">
      <x:c r="A5" s="34" t="str">
        <x:v>Work items</x:v>
      </x:c>
      <x:c r="B5" s="35" t="str">
        <x:v>Count</x:v>
      </x:c>
      <x:c r="D5" s="34" t="str">
        <x:v>Readiness</x:v>
      </x:c>
      <x:c r="E5" s="35" t="str">
        <x:v>Count</x:v>
      </x:c>
      <x:c r="G5" s="40" t="str">
        <x:v>Status</x:v>
      </x:c>
      <x:c r="H5" s="40" t="str">
        <x:v>Count</x:v>
      </x:c>
    </x:row>
    <x:row r="6">
      <x:c r="A6" s="36" t="str">
        <x:v>Total</x:v>
      </x:c>
      <x:c r="B6" s="37" t="n">
        <x:f>COUNTA('Open Items'!$A$6:$A$37)</x:f>
        <x:v>32</x:v>
      </x:c>
      <x:c r="D6" s="36" t="str">
        <x:v>P0 items not done</x:v>
      </x:c>
      <x:c r="E6" s="37" t="n">
        <x:f>COUNTIFS('Open Items'!$E$6:$E$37,"P0",'Open Items'!$F$6:$F$37,"&lt;&gt;Done")</x:f>
        <x:v>22</x:v>
      </x:c>
      <x:c r="G6" s="40" t="str">
        <x:v>Open</x:v>
      </x:c>
      <x:c r="H6" s="40" t="n">
        <x:f>B7</x:f>
        <x:v>30</x:v>
      </x:c>
    </x:row>
    <x:row r="7">
      <x:c r="A7" s="36" t="str">
        <x:v>Open</x:v>
      </x:c>
      <x:c r="B7" s="37" t="n">
        <x:f>COUNTIF('Open Items'!$F$6:$F$37,"Open")</x:f>
        <x:v>30</x:v>
      </x:c>
      <x:c r="D7" s="36" t="str">
        <x:v>Open release gates</x:v>
      </x:c>
      <x:c r="E7" s="37" t="n">
        <x:f>COUNTIF('Release Gates'!$E$6:$E$17,"Open")</x:f>
        <x:v>11</x:v>
      </x:c>
      <x:c r="G7" s="40" t="str">
        <x:v>In Progress</x:v>
      </x:c>
      <x:c r="H7" s="40" t="n">
        <x:f>B8</x:f>
        <x:v>0</x:v>
      </x:c>
    </x:row>
    <x:row r="8">
      <x:c r="A8" s="36" t="str">
        <x:v>In Progress</x:v>
      </x:c>
      <x:c r="B8" s="37" t="n">
        <x:f>COUNTIF('Open Items'!$F$6:$F$37,"In Progress")</x:f>
        <x:v>0</x:v>
      </x:c>
      <x:c r="D8" s="36" t="str">
        <x:v>Open risks</x:v>
      </x:c>
      <x:c r="E8" s="37" t="n">
        <x:f>COUNTIF(Risks!$H$6:$H$16,"Open")</x:f>
        <x:v>10</x:v>
      </x:c>
      <x:c r="G8" s="40" t="str">
        <x:v>PR Open</x:v>
      </x:c>
      <x:c r="H8" s="40" t="n">
        <x:f>B9</x:f>
        <x:v>0</x:v>
      </x:c>
    </x:row>
    <x:row r="9">
      <x:c r="A9" s="36" t="str">
        <x:v>PR Open</x:v>
      </x:c>
      <x:c r="B9" s="37" t="n">
        <x:f>COUNTIF('Open Items'!$F$6:$F$37,"PR Open")</x:f>
        <x:v>0</x:v>
      </x:c>
      <x:c r="D9" s="36" t="str">
        <x:v>P0 open risks</x:v>
      </x:c>
      <x:c r="E9" s="37" t="n">
        <x:f>COUNTIFS(Risks!$E$6:$E$16,"P0",Risks!$H$6:$H$16,"Open")</x:f>
        <x:v>9</x:v>
      </x:c>
      <x:c r="G9" s="40" t="str">
        <x:v>Blocked</x:v>
      </x:c>
      <x:c r="H9" s="40" t="n">
        <x:f>B10</x:f>
        <x:v>1</x:v>
      </x:c>
    </x:row>
    <x:row r="10">
      <x:c r="A10" s="36" t="str">
        <x:v>Blocked</x:v>
      </x:c>
      <x:c r="B10" s="37" t="n">
        <x:f>COUNTIF('Open Items'!$F$6:$F$37,"Blocked")</x:f>
        <x:v>1</x:v>
      </x:c>
      <x:c r="D10" s="36" t="str">
        <x:v>Approved requirements</x:v>
      </x:c>
      <x:c r="E10" s="37" t="n">
        <x:f>COUNTIF(Requirements!$G$6:$G$23,"Approved")</x:f>
        <x:v>18</x:v>
      </x:c>
      <x:c r="G10" s="40" t="str">
        <x:v>Done</x:v>
      </x:c>
      <x:c r="H10" s="40" t="n">
        <x:f>B11</x:f>
        <x:v>0</x:v>
      </x:c>
    </x:row>
    <x:row r="11">
      <x:c r="A11" s="36" t="str">
        <x:v>Done</x:v>
      </x:c>
      <x:c r="B11" s="37" t="n">
        <x:f>COUNTIF('Open Items'!$F$6:$F$37,"Done")</x:f>
        <x:v>0</x:v>
      </x:c>
      <x:c r="G11" t="str"/>
      <x:c r="H11"/>
    </x:row>
    <x:row r="13">
      <x:c r="A13" s="39" t="str">
        <x:v>Launch gate</x:v>
      </x:c>
      <x:c r="B13" s="39" t="str">
        <x:v>Current state</x:v>
      </x:c>
      <x:c r="C13" s="39" t="str">
        <x:v>Owner</x:v>
      </x:c>
      <x:c r="D13" s="39" t="str">
        <x:v>Evidence needed</x:v>
      </x:c>
      <x:c r="E13" s="39" t="str">
        <x:v>Rule</x:v>
      </x:c>
    </x:row>
    <x:row r="14">
      <x:c r="A14" s="26" t="str">
        <x:v>Repository foundation</x:v>
      </x:c>
      <x:c r="B14" s="26" t="str">
        <x:v>In Progress</x:v>
      </x:c>
      <x:c r="C14" s="26" t="str">
        <x:v>Codex</x:v>
      </x:c>
      <x:c r="D14" s="26" t="str">
        <x:v>Initial commit, issues, protections and green governance CI</x:v>
      </x:c>
      <x:c r="E14" s="26" t="str">
        <x:v>Complete before implementation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7c3feac246e54c66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Blocked</x:v>
      </x:c>
      <x:c r="G36" s="26" t="str">
        <x:v>Product owner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/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In Review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/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e9a6f2f14964b9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b3905f3766e4e88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320ebb62338441da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7" t="str">
        <x:v>RISK-011</x:v>
      </x:c>
      <x:c r="B16" s="27" t="str">
        <x:v>Private repository cannot enforce native branch protection or secret scanning on the current GitHub plan</x:v>
      </x:c>
      <x:c r="C16" s="27" t="str">
        <x:v>High</x:v>
      </x:c>
      <x:c r="D16" s="27" t="str">
        <x:v>Certain</x:v>
      </x:c>
      <x:c r="E16" s="27" t="str">
        <x:v>P0</x:v>
      </x:c>
      <x:c r="F16" s="27" t="str">
        <x:v>Use PR discipline and CI Gitleaks as compensating controls; upgrade to GitHub Pro or an eligible organization before production</x:v>
      </x:c>
      <x:c r="G16" s="27" t="str">
        <x:v>Product owner</x:v>
      </x:c>
      <x:c r="H16" s="27" t="str">
        <x:v>Open</x:v>
      </x:c>
      <x:c r="I16" s="27" t="str">
        <x:v>GitHub API returned HTTP 403 and 422 on 2026-10-04</x:v>
      </x:c>
    </x:row>
  </x:sheetData>
  <x:mergeCells>
    <x:mergeCell ref="A3:I3"/>
  </x:mergeCells>
  <x:conditionalFormatting sqref="E6:E16">
    <x:cfRule type="containsText" dxfId="12" priority="1" operator="containsText" text="P0"/>
  </x:conditionalFormatting>
  <x:conditionalFormatting sqref="H6:H16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cc60f515c75459f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Private repository created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6728e85a60e4087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eeb6dc5baa34948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e3568de0833e44d4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32" t="str">
        <x:v>GOV-002</x:v>
      </x:c>
      <x:c r="B6" s="32" t="str"/>
      <x:c r="C6" s="32" t="str">
        <x:v>codex/gov-002-production-program</x:v>
      </x:c>
      <x:c r="D6" s="32" t="str"/>
      <x:c r="E6" s="32" t="str"/>
      <x:c r="F6" s="32" t="str"/>
      <x:c r="G6" s="32" t="str">
        <x:v>Initial repository validation</x:v>
      </x:c>
      <x:c r="H6" s="32" t="str">
        <x:v>Documentation and governance baseline</x:v>
      </x:c>
      <x:c r="I6" s="32" t="str">
        <x:v>Revert initial commit before dependent work</x:v>
      </x:c>
      <x:c r="J6" s="32" t="str">
        <x:v>None</x:v>
      </x:c>
      <x:c r="K6" s="32" t="str">
        <x:v>In Progress</x:v>
      </x:c>
      <x:c r="L6" s="33" t="str">
        <x:v>2026-10-04</x:v>
      </x:c>
    </x:row>
  </x:sheetData>
  <x:mergeCells>
    <x:mergeCell ref="A3:L3"/>
  </x:mergeCells>
  <x:conditionalFormatting sqref="K6:K6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08020a90aa546fb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e38b40737444ae5"/>
  </x:tableParts>
</x:worksheet>
</file>