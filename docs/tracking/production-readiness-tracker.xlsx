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058cd3229147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363d4ab68c0401c"/>
    <x:sheet xmlns:r="http://schemas.openxmlformats.org/officeDocument/2006/relationships" name="Open Items" sheetId="2" r:id="R0483a261dea643fd"/>
    <x:sheet xmlns:r="http://schemas.openxmlformats.org/officeDocument/2006/relationships" name="Requirements" sheetId="3" r:id="R619b640a444e489f"/>
    <x:sheet xmlns:r="http://schemas.openxmlformats.org/officeDocument/2006/relationships" name="Test Inventory" sheetId="4" r:id="R195f9a45aa1c4c5c"/>
    <x:sheet xmlns:r="http://schemas.openxmlformats.org/officeDocument/2006/relationships" name="Risks" sheetId="5" r:id="R37d3442a5b6447b0"/>
    <x:sheet xmlns:r="http://schemas.openxmlformats.org/officeDocument/2006/relationships" name="Access" sheetId="6" r:id="R41d20f48ce894af7"/>
    <x:sheet xmlns:r="http://schemas.openxmlformats.org/officeDocument/2006/relationships" name="Release Gates" sheetId="7" r:id="R592db801caa846d8"/>
    <x:sheet xmlns:r="http://schemas.openxmlformats.org/officeDocument/2006/relationships" name="Change Intake" sheetId="8" r:id="Rd035b38cbf2b4e95"/>
    <x:sheet xmlns:r="http://schemas.openxmlformats.org/officeDocument/2006/relationships" name="PR Handoffs" sheetId="9" r:id="R8abca5f0300749fd"/>
    <x:sheet xmlns:r="http://schemas.openxmlformats.org/officeDocument/2006/relationships" name="Documents" sheetId="10" r:id="R75446ace44e745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11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  <x:font>
      <x:sz val="10"/>
      <x:color rgb="FF16794A"/>
      <x:name val="Arial"/>
    </x:font>
    <x:font>
      <x:sz val="10"/>
      <x:color rgb="FF7A4B00"/>
      <x:name val="Arial"/>
    </x:font>
    <x:font>
      <x:sz val="10"/>
      <x:color rgb="FFB42318"/>
      <x:name val="Arial"/>
    </x:font>
  </x:fonts>
  <x:fills count="18">
    <x:fill>
      <x:patternFill patternType="none"/>
    </x:fill>
    <x:fill>
      <x:patternFill patternType="gray125"/>
    </x:fill>
    <x:fill>
      <x:patternFill patternType="solid">
        <x:fgColor rgb="FF6E1026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9CDD0"/>
      </x:bottom>
    </x:border>
    <x:border>
      <x:top style="thin">
        <x:color rgb="FFD9CDD0"/>
      </x:top>
      <x:bottom style="thin">
        <x:color rgb="FFD9CDD0"/>
      </x:bottom>
    </x:border>
    <x:border>
      <x:top style="thin">
        <x:color rgb="FFD9CDD0"/>
      </x:top>
    </x:border>
  </x:borders>
  <x:cellStyleXfs count="1">
    <x:xf numFmtId="0" fontId="0" fillId="0" borderId="0"/>
  </x:cellStyleXfs>
  <x:cellXfs count="7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5" fillId="3" borderId="4" xfId="0" applyNumberFormat="1" applyFont="1" applyFill="1" applyBorder="1" applyAlignment="1">
      <x:alignment vertical="top" wrapText="1"/>
    </x:xf>
    <x:xf numFmtId="0" fontId="8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8" fillId="3" borderId="5" xfId="0" applyNumberFormat="1" applyFont="1" applyFill="1" applyBorder="1" applyAlignment="1">
      <x:alignment vertical="top" wrapText="1"/>
    </x:xf>
    <x:xf numFmtId="0" fontId="5" fillId="4" borderId="5" xfId="0" applyNumberFormat="1" applyFont="1" applyFill="1" applyBorder="1" applyAlignment="1">
      <x:alignment vertical="top" wrapText="1"/>
    </x:xf>
    <x:xf numFmtId="0" fontId="9" fillId="4" borderId="5" xfId="0" applyNumberFormat="1" applyFont="1" applyFill="1" applyBorder="1" applyAlignment="1">
      <x:alignment vertical="top" wrapText="1"/>
    </x:xf>
    <x:xf numFmtId="0" fontId="5" fillId="5" borderId="5" xfId="0" applyNumberFormat="1" applyFont="1" applyFill="1" applyBorder="1" applyAlignment="1">
      <x:alignment vertical="top" wrapText="1"/>
    </x:xf>
    <x:xf numFmtId="0" fontId="10" fillId="5" borderId="5" xfId="0" applyNumberFormat="1" applyFont="1" applyFill="1" applyBorder="1" applyAlignment="1">
      <x:alignment vertical="top" wrapText="1"/>
    </x:xf>
    <x:xf numFmtId="0" fontId="5" fillId="3" borderId="6" xfId="0" applyNumberFormat="1" applyFont="1" applyFill="1" applyBorder="1" applyAlignment="1">
      <x:alignment vertical="top" wrapText="1"/>
    </x:xf>
    <x:xf numFmtId="0" fontId="8" fillId="3" borderId="6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8" fillId="3" borderId="0" xfId="0" applyNumberFormat="1" applyFont="1" applyFill="1" applyBorder="1"/>
    <x:xf numFmtId="0" fontId="8" fillId="6" borderId="4" xfId="0" applyNumberFormat="1" applyFont="1" applyFill="1" applyBorder="1" applyAlignment="1">
      <x:alignment vertical="top" wrapText="1"/>
    </x:xf>
    <x:xf numFmtId="0" fontId="8" fillId="6" borderId="5" xfId="0" applyNumberFormat="1" applyFont="1" applyFill="1" applyBorder="1" applyAlignment="1">
      <x:alignment vertical="top" wrapText="1"/>
    </x:xf>
    <x:xf numFmtId="0" fontId="9" fillId="7" borderId="5" xfId="0" applyNumberFormat="1" applyFont="1" applyFill="1" applyBorder="1" applyAlignment="1">
      <x:alignment vertical="top" wrapText="1"/>
    </x:xf>
    <x:xf numFmtId="0" fontId="10" fillId="8" borderId="5" xfId="0" applyNumberFormat="1" applyFont="1" applyFill="1" applyBorder="1" applyAlignment="1">
      <x:alignment vertical="top" wrapText="1"/>
    </x:xf>
    <x:xf numFmtId="0" fontId="8" fillId="6" borderId="6" xfId="0" applyNumberFormat="1" applyFont="1" applyFill="1" applyBorder="1" applyAlignment="1">
      <x:alignment vertical="top" wrapText="1"/>
    </x:xf>
    <x:xf numFmtId="0" fontId="8" fillId="6" borderId="0" xfId="0" applyNumberFormat="1" applyFont="1" applyFill="1" applyBorder="1"/>
    <x:xf numFmtId="0" fontId="8" fillId="9" borderId="4" xfId="0" applyNumberFormat="1" applyFont="1" applyFill="1" applyBorder="1" applyAlignment="1">
      <x:alignment vertical="top" wrapText="1"/>
    </x:xf>
    <x:xf numFmtId="0" fontId="8" fillId="9" borderId="5" xfId="0" applyNumberFormat="1" applyFont="1" applyFill="1" applyBorder="1" applyAlignment="1">
      <x:alignment vertical="top" wrapText="1"/>
    </x:xf>
    <x:xf numFmtId="0" fontId="9" fillId="10" borderId="5" xfId="0" applyNumberFormat="1" applyFont="1" applyFill="1" applyBorder="1" applyAlignment="1">
      <x:alignment vertical="top" wrapText="1"/>
    </x:xf>
    <x:xf numFmtId="0" fontId="10" fillId="11" borderId="5" xfId="0" applyNumberFormat="1" applyFont="1" applyFill="1" applyBorder="1" applyAlignment="1">
      <x:alignment vertical="top" wrapText="1"/>
    </x:xf>
    <x:xf numFmtId="0" fontId="8" fillId="9" borderId="6" xfId="0" applyNumberFormat="1" applyFont="1" applyFill="1" applyBorder="1" applyAlignment="1">
      <x:alignment vertical="top" wrapText="1"/>
    </x:xf>
    <x:xf numFmtId="0" fontId="8" fillId="9" borderId="0" xfId="0" applyNumberFormat="1" applyFont="1" applyFill="1" applyBorder="1"/>
    <x:xf numFmtId="0" fontId="8" fillId="12" borderId="4" xfId="0" applyNumberFormat="1" applyFont="1" applyFill="1" applyBorder="1" applyAlignment="1">
      <x:alignment vertical="top" wrapText="1"/>
    </x:xf>
    <x:xf numFmtId="0" fontId="8" fillId="12" borderId="5" xfId="0" applyNumberFormat="1" applyFont="1" applyFill="1" applyBorder="1" applyAlignment="1">
      <x:alignment vertical="top" wrapText="1"/>
    </x:xf>
    <x:xf numFmtId="0" fontId="9" fillId="13" borderId="5" xfId="0" applyNumberFormat="1" applyFont="1" applyFill="1" applyBorder="1" applyAlignment="1">
      <x:alignment vertical="top" wrapText="1"/>
    </x:xf>
    <x:xf numFmtId="0" fontId="10" fillId="14" borderId="5" xfId="0" applyNumberFormat="1" applyFont="1" applyFill="1" applyBorder="1" applyAlignment="1">
      <x:alignment vertical="top" wrapText="1"/>
    </x:xf>
    <x:xf numFmtId="0" fontId="8" fillId="12" borderId="6" xfId="0" applyNumberFormat="1" applyFont="1" applyFill="1" applyBorder="1" applyAlignment="1">
      <x:alignment vertical="top" wrapText="1"/>
    </x:xf>
    <x:xf numFmtId="0" fontId="8" fillId="12" borderId="0" xfId="0" applyNumberFormat="1" applyFont="1" applyFill="1" applyBorder="1"/>
    <x:xf numFmtId="0" fontId="8" fillId="15" borderId="4" xfId="0" applyNumberFormat="1" applyFont="1" applyFill="1" applyBorder="1" applyAlignment="1">
      <x:alignment vertical="top" wrapText="1"/>
    </x:xf>
    <x:xf numFmtId="0" fontId="8" fillId="15" borderId="5" xfId="0" applyNumberFormat="1" applyFont="1" applyFill="1" applyBorder="1" applyAlignment="1">
      <x:alignment vertical="top" wrapText="1"/>
    </x:xf>
    <x:xf numFmtId="0" fontId="9" fillId="16" borderId="5" xfId="0" applyNumberFormat="1" applyFont="1" applyFill="1" applyBorder="1" applyAlignment="1">
      <x:alignment vertical="top" wrapText="1"/>
    </x:xf>
    <x:xf numFmtId="0" fontId="10" fillId="17" borderId="5" xfId="0" applyNumberFormat="1" applyFont="1" applyFill="1" applyBorder="1" applyAlignment="1">
      <x:alignment vertical="top" wrapText="1"/>
    </x:xf>
    <x:xf numFmtId="0" fontId="8" fillId="15" borderId="6" xfId="0" applyNumberFormat="1" applyFont="1" applyFill="1" applyBorder="1" applyAlignment="1">
      <x:alignment vertical="top" wrapText="1"/>
    </x:xf>
    <x:xf numFmtId="0" fontId="8" fillId="15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D4ED8"/>
      </x:font>
      <x:fill>
        <x:patternFill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57853aba074faf" /><Relationship Type="http://schemas.openxmlformats.org/officeDocument/2006/relationships/theme" Target="/xl/theme/theme1.xml" Id="R46b47acd99e647b4" /><Relationship Type="http://schemas.openxmlformats.org/officeDocument/2006/relationships/sharedStrings" Target="/xl/sharedStrings.xml" Id="R719d09b73cd2451b" /><Relationship Type="http://schemas.openxmlformats.org/officeDocument/2006/relationships/worksheet" Target="/xl/worksheets/sheet1.xml" Id="R8363d4ab68c0401c" /><Relationship Type="http://schemas.openxmlformats.org/officeDocument/2006/relationships/worksheet" Target="/xl/worksheets/sheet2.xml" Id="R0483a261dea643fd" /><Relationship Type="http://schemas.openxmlformats.org/officeDocument/2006/relationships/worksheet" Target="/xl/worksheets/sheet3.xml" Id="R619b640a444e489f" /><Relationship Type="http://schemas.openxmlformats.org/officeDocument/2006/relationships/worksheet" Target="/xl/worksheets/sheet4.xml" Id="R195f9a45aa1c4c5c" /><Relationship Type="http://schemas.openxmlformats.org/officeDocument/2006/relationships/worksheet" Target="/xl/worksheets/sheet5.xml" Id="R37d3442a5b6447b0" /><Relationship Type="http://schemas.openxmlformats.org/officeDocument/2006/relationships/worksheet" Target="/xl/worksheets/sheet6.xml" Id="R41d20f48ce894af7" /><Relationship Type="http://schemas.openxmlformats.org/officeDocument/2006/relationships/worksheet" Target="/xl/worksheets/sheet7.xml" Id="R592db801caa846d8" /><Relationship Type="http://schemas.openxmlformats.org/officeDocument/2006/relationships/worksheet" Target="/xl/worksheets/sheet8.xml" Id="Rd035b38cbf2b4e95" /><Relationship Type="http://schemas.openxmlformats.org/officeDocument/2006/relationships/worksheet" Target="/xl/worksheets/sheet9.xml" Id="R8abca5f0300749fd" /><Relationship Type="http://schemas.openxmlformats.org/officeDocument/2006/relationships/worksheet" Target="/xl/worksheets/sheet10.xml" Id="R75446ace44e745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41e6607a82f416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1e6607a82f416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0" name="OpenItemsTable" displayName="OpenItemsTable" ref="A5:M38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3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16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8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5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8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1" name="PrHandoffsTable" displayName="PrHandoffsTable" ref="A5:L15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20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34f084633e843b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a1bd56ba91a45e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8399ddc4b3a4c2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e72213628b6417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0539203b8af49a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c8a7adfbaa5412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4d3f5285878445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f944248192ee48c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a6bedf623164e3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068394b04cc4457e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2026-10-06. Reconciled to canonical registers and final merged PR/issue state.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v>33</x:v>
      </x:c>
      <x:c r="D6" s="33" t="str">
        <x:v>P0 items not done</x:v>
      </x:c>
      <x:c r="E6" s="34" t="n">
        <x:f>COUNTIFS('Open Items'!$E$6:$E$38,"P0",'Open Items'!$F$6:$F$38,"&lt;&gt;Done")</x:f>
        <x:v>14</x:v>
      </x:c>
      <x:c r="G6" s="39" t="str">
        <x:v>Open</x:v>
      </x:c>
      <x:c r="H6" s="39" t="n">
        <x:v>22</x:v>
      </x:c>
    </x:row>
    <x:row r="7">
      <x:c r="A7" s="33" t="str">
        <x:v>Open</x:v>
      </x:c>
      <x:c r="B7" s="34" t="n">
        <x:v>22</x:v>
      </x:c>
      <x:c r="D7" s="33" t="str">
        <x:v>Open release gates</x:v>
      </x:c>
      <x:c r="E7" s="34" t="n">
        <x:f>COUNTIF('Release Gates'!$E$6:$E$17,"Open")</x:f>
        <x:v>11</x:v>
      </x:c>
      <x:c r="G7" s="39" t="str">
        <x:v>In Progress</x:v>
      </x:c>
      <x:c r="H7" s="39" t="n">
        <x:v>0</x:v>
      </x:c>
    </x:row>
    <x:row r="8">
      <x:c r="A8" s="33" t="str">
        <x:v>In Progress</x:v>
      </x:c>
      <x:c r="B8" s="34" t="n">
        <x:v>0</x:v>
      </x:c>
      <x:c r="D8" s="33" t="str">
        <x:v>Open risks</x:v>
      </x:c>
      <x:c r="E8" s="34" t="n">
        <x:f>COUNTIF(Risks!$H$6:$H$18,"Open")</x:f>
        <x:v>10</x:v>
      </x:c>
      <x:c r="G8" s="39" t="str">
        <x:v>PR Open</x:v>
      </x:c>
      <x:c r="H8" s="39" t="n">
        <x:v>1</x:v>
      </x:c>
    </x:row>
    <x:row r="9">
      <x:c r="A9" s="33" t="str">
        <x:v>PR Open</x:v>
      </x:c>
      <x:c r="B9" s="34" t="n">
        <x:v>1</x:v>
      </x:c>
      <x:c r="D9" s="33" t="str">
        <x:v>P0 open risks</x:v>
      </x:c>
      <x:c r="E9" s="34" t="n">
        <x:f>COUNTIFS(Risks!$E$6:$E$18,"P0",Risks!$H$6:$H$18,"Open")</x:f>
        <x:v>9</x:v>
      </x:c>
      <x:c r="G9" s="39" t="str">
        <x:v>Blocked</x:v>
      </x:c>
      <x:c r="H9" s="39" t="n">
        <x:v>1</x:v>
      </x:c>
    </x:row>
    <x:row r="10">
      <x:c r="A10" s="33" t="str">
        <x:v>Blocked</x:v>
      </x:c>
      <x:c r="B10" s="34" t="n">
        <x:v>1</x:v>
      </x:c>
      <x:c r="D10" s="33" t="str">
        <x:v>Approved requirements</x:v>
      </x:c>
      <x:c r="E10" s="34" t="n">
        <x:f>COUNTIF(Requirements!$G$6:$G$23,"Approved")</x:f>
        <x:v>18</x:v>
      </x:c>
      <x:c r="G10" s="39" t="str">
        <x:v>Done</x:v>
      </x:c>
      <x:c r="H10" s="39" t="n">
        <x:v>9</x:v>
      </x:c>
    </x:row>
    <x:row r="11">
      <x:c r="A11" s="33" t="str">
        <x:v>Done</x:v>
      </x:c>
      <x:c r="B11" s="34" t="n">
        <x:v>9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934f084633e843b0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Align authentication with Zoho SSO and multi-identifier login policy</x:v>
      </x:c>
      <x:c r="C6" s="25" t="str">
        <x:v>Public beta safety</x:v>
      </x:c>
      <x:c r="D6" s="25" t="str">
        <x:v>Security</x:v>
      </x:c>
      <x:c r="E6" s="25" t="str">
        <x:v>P0</x:v>
      </x:c>
      <x:c r="F6" s="70" t="str">
        <x:v>Done</x:v>
      </x:c>
      <x:c r="G6" s="25" t="str">
        <x:v>Codex</x:v>
      </x:c>
      <x:c r="H6" s="25" t="str"/>
      <x:c r="I6" s="25" t="str">
        <x:v>Administrators use Zoho SSO; existing users may use Zoho SSO or username/email/mobile plus password; OTP is verification/recovery only; unsafe public provider combinations fail startup</x:v>
      </x:c>
      <x:c r="J6" s="25" t="str">
        <x:v>Production plan Task 1A and user authentication decision</x:v>
      </x:c>
      <x:c r="K6" s="25" t="str">
        <x:v>https://github.com/RohithTadiparti/world-of-weddingz-production/issues/6</x:v>
      </x:c>
      <x:c r="L6" s="25" t="str">
        <x:v>https://github.com/RohithTadiparti/world-of-weddingz-production/pull/58</x:v>
      </x:c>
      <x:c r="M6" s="28" t="str">
        <x:v>2026-10-05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71" t="str">
        <x:v>Done</x:v>
      </x:c>
      <x:c r="G7" s="26" t="str">
        <x:v>Codex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>
        <x:v>https://github.com/RohithTadiparti/world-of-weddingz-production/issues/7</x:v>
      </x:c>
      <x:c r="L7" s="26" t="str">
        <x:v>https://github.com/RohithTadiparti/world-of-weddingz-production/pull/62</x:v>
      </x:c>
      <x:c r="M7" s="29" t="str">
        <x:v>2026-10-05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71" t="str">
        <x:v>Done</x:v>
      </x:c>
      <x:c r="G8" s="26" t="str">
        <x:v>Codex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>
        <x:v>https://github.com/RohithTadiparti/world-of-weddingz-production/issues/8</x:v>
      </x:c>
      <x:c r="L8" s="26" t="str">
        <x:v>https://github.com/RohithTadiparti/world-of-weddingz-production/pull/64</x:v>
      </x:c>
      <x:c r="M8" s="29" t="str">
        <x:v>2026-10-05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71" t="str">
        <x:v>Done</x:v>
      </x:c>
      <x:c r="G9" s="26" t="str">
        <x:v>Codex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>
        <x:v>https://github.com/RohithTadiparti/world-of-weddingz-production/issues/9</x:v>
      </x:c>
      <x:c r="L9" s="26" t="str">
        <x:v>https://github.com/RohithTadiparti/world-of-weddingz-production/pull/63</x:v>
      </x:c>
      <x:c r="M9" s="29" t="str">
        <x:v>2026-10-05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71" t="str">
        <x:v>Done</x:v>
      </x:c>
      <x:c r="G10" s="26" t="str">
        <x:v>Codex</x:v>
      </x:c>
      <x:c r="H10" s="26" t="str"/>
      <x:c r="I10" s="26" t="str">
        <x:v>No unaccepted critical/high runtime advisory; CI blocks regressions; explicitly documented no-fix build-tool exceptions remain narrow and reviewable</x:v>
      </x:c>
      <x:c r="J10" s="26" t="str">
        <x:v>Production plan Task 1E</x:v>
      </x:c>
      <x:c r="K10" s="26" t="str">
        <x:v>https://github.com/RohithTadiparti/world-of-weddingz-production/issues/10</x:v>
      </x:c>
      <x:c r="L10" s="26" t="str">
        <x:v>https://github.com/RohithTadiparti/world-of-weddingz-production/pull/59</x:v>
      </x:c>
      <x:c r="M10" s="29" t="str">
        <x:v>2026-10-05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71" t="str">
        <x:v>Done</x:v>
      </x:c>
      <x:c r="G11" s="26" t="str">
        <x:v>Codex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>
        <x:v>https://github.com/RohithTadiparti/world-of-weddingz-production/issues/11</x:v>
      </x:c>
      <x:c r="L11" s="26" t="str">
        <x:v>https://github.com/RohithTadiparti/world-of-weddingz-production/pull/69</x:v>
      </x:c>
      <x:c r="M11" s="29" t="str">
        <x:v>2026-10-05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72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>
        <x:v>https://github.com/RohithTadiparti/world-of-weddingz-production/issues/12</x:v>
      </x:c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72" t="str">
        <x:v>PR Open</x:v>
      </x:c>
      <x:c r="G13" s="26" t="str">
        <x:v>Codex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>
        <x:v>https://github.com/RohithTadiparti/world-of-weddingz-production/issues/13</x:v>
      </x:c>
      <x:c r="L13" s="26" t="str">
        <x:v>https://github.com/RohithTadiparti/world-of-weddingz-production/pull/71</x:v>
      </x:c>
      <x:c r="M13" s="29" t="str">
        <x:v>2026-10-06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72" t="str">
        <x:v>Open</x:v>
      </x:c>
      <x:c r="G14" s="26" t="str">
        <x:v>Unassigned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>
        <x:v>https://github.com/RohithTadiparti/world-of-weddingz-production/issues/14</x:v>
      </x:c>
      <x:c r="L14" s="26" t="str"/>
      <x:c r="M14" s="29" t="str">
        <x:v>2026-10-04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72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>
        <x:v>https://github.com/RohithTadiparti/world-of-weddingz-production/issues/15</x:v>
      </x:c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72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>
        <x:v>https://github.com/RohithTadiparti/world-of-weddingz-production/issues/16</x:v>
      </x:c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72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>
        <x:v>https://github.com/RohithTadiparti/world-of-weddingz-production/issues/17</x:v>
      </x:c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72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>
        <x:v>https://github.com/RohithTadiparti/world-of-weddingz-production/issues/18</x:v>
      </x:c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72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>
        <x:v>https://github.com/RohithTadiparti/world-of-weddingz-production/issues/19</x:v>
      </x:c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fresh-authentication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72" t="str">
        <x:v>Open</x:v>
      </x:c>
      <x:c r="G20" s="26" t="str">
        <x:v>Unassigned</x:v>
      </x:c>
      <x:c r="H20" s="26" t="str">
        <x:v>SEC-001,CFG-001</x:v>
      </x:c>
      <x:c r="I20" s="26" t="str">
        <x:v>Fresh Zoho reauthentication issues a five-minute single-use action-scoped token for migration start; application TOTP is a documented fallback only</x:v>
      </x:c>
      <x:c r="J20" s="26" t="str">
        <x:v>Production plan Task 9 and user authentication decision</x:v>
      </x:c>
      <x:c r="K20" s="26" t="str">
        <x:v>https://github.com/RohithTadiparti/world-of-weddingz-production/issues/20</x:v>
      </x:c>
      <x:c r="L20" s="26" t="str"/>
      <x:c r="M20" s="29" t="str">
        <x:v>2026-10-05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72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>
        <x:v>https://github.com/RohithTadiparti/world-of-weddingz-production/issues/21</x:v>
      </x:c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72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>
        <x:v>https://github.com/RohithTadiparti/world-of-weddingz-production/issues/22</x:v>
      </x:c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72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>
        <x:v>https://github.com/RohithTadiparti/world-of-weddingz-production/issues/23</x:v>
      </x:c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72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>
        <x:v>https://github.com/RohithTadiparti/world-of-weddingz-production/issues/24</x:v>
      </x:c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72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>
        <x:v>https://github.com/RohithTadiparti/world-of-weddingz-production/issues/25</x:v>
      </x:c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72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>
        <x:v>https://github.com/RohithTadiparti/world-of-weddingz-production/issues/26</x:v>
      </x:c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72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>
        <x:v>https://github.com/RohithTadiparti/world-of-weddingz-production/issues/27</x:v>
      </x:c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72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>
        <x:v>https://github.com/RohithTadiparti/world-of-weddingz-production/issues/28</x:v>
      </x:c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72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>
        <x:v>https://github.com/RohithTadiparti/world-of-weddingz-production/issues/29</x:v>
      </x:c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72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>
        <x:v>https://github.com/RohithTadiparti/world-of-weddingz-production/issues/30</x:v>
      </x:c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72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>
        <x:v>https://github.com/RohithTadiparti/world-of-weddingz-production/issues/31</x:v>
      </x:c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73" t="str">
        <x:v>Blocked</x:v>
      </x:c>
      <x:c r="G32" s="26" t="str">
        <x:v>Product owner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>
        <x:v>https://github.com/RohithTadiparti/world-of-weddingz-production/issues/32</x:v>
      </x:c>
      <x:c r="L32" s="26" t="str">
        <x:v>https://github.com/RohithTadiparti/world-of-weddingz-production/pull/55</x:v>
      </x:c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72" t="str">
        <x:v>Open</x:v>
      </x:c>
      <x:c r="G33" s="26" t="str">
        <x:v>Unassigned</x:v>
      </x:c>
      <x:c r="H33" s="26" t="str"/>
      <x:c r="I33" s="26" t="str">
        <x:v>Legacy two failures are updated to current accessible contracts and pass</x:v>
      </x:c>
      <x:c r="J33" s="26" t="str">
        <x:v>QA findings F-002 F-003</x:v>
      </x:c>
      <x:c r="K33" s="26" t="str">
        <x:v>https://github.com/RohithTadiparti/world-of-weddingz-production/issues/33</x:v>
      </x:c>
      <x:c r="L33" s="26" t="str"/>
      <x:c r="M33" s="29" t="str">
        <x:v>2026-10-04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72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>
        <x:v>https://github.com/RohithTadiparti/world-of-weddingz-production/issues/34</x:v>
      </x:c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72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>
        <x:v>https://github.com/RohithTadiparti/world-of-weddingz-production/issues/35</x:v>
      </x:c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71" t="str">
        <x:v>Done</x:v>
      </x:c>
      <x:c r="G36" s="26" t="str">
        <x:v>Codex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>
        <x:v>https://github.com/RohithTadiparti/world-of-weddingz-production/issues/36</x:v>
      </x:c>
      <x:c r="L36" s="26" t="str">
        <x:v>https://github.com/RohithTadiparti/world-of-weddingz-production/pull/54</x:v>
      </x:c>
      <x:c r="M36" s="29" t="str">
        <x:v>2026-10-05</x:v>
      </x:c>
    </x:row>
    <x:row r="37" ht="30" customHeight="1">
      <x:c r="A37" s="27" t="str">
        <x:v>GOV-002</x:v>
      </x:c>
      <x:c r="B37" s="27" t="str">
        <x:v>Establish SDLC knowledge and tracking system</x:v>
      </x:c>
      <x:c r="C37" s="27" t="str">
        <x:v>Governance</x:v>
      </x:c>
      <x:c r="D37" s="27" t="str">
        <x:v>Governance</x:v>
      </x:c>
      <x:c r="E37" s="27" t="str">
        <x:v>P0</x:v>
      </x:c>
      <x:c r="F37" s="74" t="str">
        <x:v>Done</x:v>
      </x:c>
      <x:c r="G37" s="27" t="str">
        <x:v>Codex</x:v>
      </x:c>
      <x:c r="H37" s="27" t="str"/>
      <x:c r="I37" s="27" t="str">
        <x:v>Markdown CSV Excel issues PR protocol and Obsidian index are linked and verified</x:v>
      </x:c>
      <x:c r="J37" s="27" t="str">
        <x:v>User request</x:v>
      </x:c>
      <x:c r="K37" s="27" t="str">
        <x:v>https://github.com/RohithTadiparti/world-of-weddingz-production/issues/37</x:v>
      </x:c>
      <x:c r="L37" s="27" t="str">
        <x:v>https://github.com/RohithTadiparti/world-of-weddingz-production/pull/49</x:v>
      </x:c>
      <x:c r="M37" s="30" t="str">
        <x:v>2026-10-05</x:v>
      </x:c>
    </x:row>
    <x:row r="38">
      <x:c r="A38" t="str">
        <x:v>GOV-003</x:v>
      </x:c>
      <x:c r="B38" t="str">
        <x:v>Reconcile authentication and dependency tracking</x:v>
      </x:c>
      <x:c r="C38" t="str">
        <x:v>Governance</x:v>
      </x:c>
      <x:c r="D38" t="str">
        <x:v>Governance</x:v>
      </x:c>
      <x:c r="E38" t="str">
        <x:v>P0</x:v>
      </x:c>
      <x:c r="F38" s="75" t="str">
        <x:v>Done</x:v>
      </x:c>
      <x:c r="G38" t="str">
        <x:v>Codex</x:v>
      </x:c>
      <x:c r="H38" t="str">
        <x:v>SEC-001,DEP-001</x:v>
      </x:c>
      <x:c r="I38" t="str">
        <x:v>Canonical registers workbook and operating guidance match the implemented authentication policy and dependency evidence</x:v>
      </x:c>
      <x:c r="J38" t="str">
        <x:v>User request</x:v>
      </x:c>
      <x:c r="K38" t="str">
        <x:v>https://github.com/RohithTadiparti/world-of-weddingz-production/issues/60</x:v>
      </x:c>
      <x:c r="L38" t="str">
        <x:v>https://github.com/RohithTadiparti/world-of-weddingz-production/pull/61</x:v>
      </x:c>
      <x:c r="M38" t="str">
        <x:v>2026-10-05</x:v>
      </x:c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</x:row>
    <x:row r="69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</x:row>
    <x:row r="70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</x:row>
  </x:sheetData>
  <x:mergeCells>
    <x:mergeCell ref="A3:M3"/>
  </x:mergeCells>
  <x:conditionalFormatting sqref="E6:E37">
    <x:cfRule type="containsText" dxfId="0" priority="1" operator="containsText" text="P0"/>
  </x:conditionalFormatting>
  <x:conditionalFormatting sqref="F6:F37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8a1bd56ba91a45e3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7" t="str">
        <x:v>REQ-REV-001</x:v>
      </x:c>
      <x:c r="B23" s="27" t="str">
        <x:v>AWS migration readiness reports INR 1.2M target and INR 1.5M preferred monthly net revenue</x:v>
      </x:c>
      <x:c r="C23" s="27" t="str">
        <x:v>Migration design</x:v>
      </x:c>
      <x:c r="D23" s="27" t="str">
        <x:v>P1</x:v>
      </x:c>
      <x:c r="E23" s="27" t="str">
        <x:v>Admin readiness UI test</x:v>
      </x:c>
      <x:c r="F23" s="27" t="str">
        <x:v>UI-001</x:v>
      </x:c>
      <x:c r="G23" s="27" t="str">
        <x:v>Approved</x:v>
      </x:c>
    </x:row>
  </x:sheetData>
  <x:mergeCells>
    <x:mergeCell ref="A3:G3"/>
  </x:mergeCells>
  <x:conditionalFormatting sqref="D6:D23">
    <x:cfRule type="containsText" dxfId="6" priority="1" operator="containsText" text="P0"/>
  </x:conditionalFormatting>
  <x:conditionalFormatting sqref="G6:G23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c8399ddc4b3a4c2d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105 authenticated screens across 8 roles</x:v>
      </x:c>
      <x:c r="D8" s="26" t="str">
        <x:v>QA workbook 2026-10-04</x:v>
      </x:c>
      <x:c r="E8" s="26" t="str">
        <x:v>16 of 18 legacy tests plus replacement flows</x:v>
      </x:c>
      <x:c r="F8" s="26" t="str">
        <x:v>Current locator suite green</x:v>
      </x:c>
      <x:c r="G8" s="26" t="str">
        <x:v>QA-004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SEC-001 PR 56 and merged WOW-MD PR 37</x:v>
      </x:c>
      <x:c r="E13" s="26" t="str">
        <x:v>Provider policy 6 of 6; admin auth/JWT 49 of 49; source mirror 55 of 55; protected source and production CI passed</x:v>
      </x:c>
      <x:c r="F13" s="26" t="str">
        <x:v>Complete live staged enrollment and Zoho delivery smoke evidence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6" t="str">
        <x:v>QA-RES-001</x:v>
      </x:c>
      <x:c r="B15" s="26" t="str">
        <x:v>Resilience</x:v>
      </x:c>
      <x:c r="C15" s="26" t="str">
        <x:v>Backup restore and failed cutover</x:v>
      </x:c>
      <x:c r="D15" s="26" t="str">
        <x:v>None</x:v>
      </x:c>
      <x:c r="E15" s="26" t="str">
        <x:v>Not run</x:v>
      </x:c>
      <x:c r="F15" s="26" t="str">
        <x:v>Successful restore and two rollback rehearsals</x:v>
      </x:c>
      <x:c r="G15" s="26" t="str">
        <x:v>QA-002 QA-003</x:v>
      </x:c>
    </x:row>
    <x:row r="16" ht="30" customHeight="1">
      <x:c r="A16" s="27" t="str">
        <x:v>QA-GOV-001</x:v>
      </x:c>
      <x:c r="B16" s="27" t="str">
        <x:v>Source synchronization</x:v>
      </x:c>
      <x:c r="C16" s="27" t="str">
        <x:v>Private-source report and shared-code mirror gate</x:v>
      </x:c>
      <x:c r="D16" s="27" t="str">
        <x:v>PR 55 local evidence</x:v>
      </x:c>
      <x:c r="E16" s="27" t="str">
        <x:v>19 of 19 governance and synchronization tests passed</x:v>
      </x:c>
      <x:c r="F16" s="27" t="str">
        <x:v>Configure WOW_SYNC_TOKEN and capture first scheduled artifact</x:v>
      </x:c>
      <x:c r="G16" s="27" t="str">
        <x:v>SYNC-002</x:v>
      </x:c>
    </x:row>
    <x:row r="17">
      <x:c r="A17" t="str">
        <x:v>QA-OBS-001</x:v>
      </x:c>
      <x:c r="B17" t="str">
        <x:v>Observability</x:v>
      </x:c>
      <x:c r="C17" t="str">
        <x:v>Request correlation redaction provider logs QA capture audit failures payout sweep and nginx JSON</x:v>
      </x:c>
      <x:c r="D17" t="str">
        <x:v>OBS-001 PR 65 and WOW-MD PR 43</x:v>
      </x:c>
      <x:c r="E17" t="str">
        <x:v>Focused 20 of 20; full backend 812 passed 9 skipped; typecheck lint nginx contract image build and syntax passed</x:v>
      </x:c>
      <x:c r="F17" t="str">
        <x:v>Deploy after SEC-003 and verify live response/log correlation with capture disabled</x:v>
      </x:c>
      <x:c r="G17" t="str">
        <x:v>OBS-001</x:v>
      </x:c>
    </x:row>
    <x:row r="18">
      <x:c r="A18" t="str">
        <x:v>QA-SEC-002</x:v>
      </x:c>
      <x:c r="B18" t="str">
        <x:v>Security</x:v>
      </x:c>
      <x:c r="C18" t="str">
        <x:v>WebSocket origins tokens calls and presence authorization</x:v>
      </x:c>
      <x:c r="D18" t="str">
        <x:v>SEC-002 PR 62 and WOW-MD PR 40</x:v>
      </x:c>
      <x:c r="E18" t="str">
        <x:v>Focused gateways 11 passed; full backend 800 passed 9 skipped; typecheck and lint passed</x:v>
      </x:c>
      <x:c r="F18" t="str">
        <x:v>Run staged hostile-origin and two-account WebSocket smoke</x:v>
      </x:c>
      <x:c r="G18" t="str">
        <x:v>SEC-002</x:v>
      </x:c>
    </x:row>
    <x:row r="19">
      <x:c r="A19" t="str">
        <x:v>QA-SEC-003</x:v>
      </x:c>
      <x:c r="B19" t="str">
        <x:v>Security</x:v>
      </x:c>
      <x:c r="C19" t="str">
        <x:v>HTTP headers private Swagger and migration integrity</x:v>
      </x:c>
      <x:c r="D19" t="str">
        <x:v>SEC-003 PR 63 and WOW-MD PR 41</x:v>
      </x:c>
      <x:c r="E19" t="str">
        <x:v>HTTP 2 passed; migration verifier 2 passed; 93 migrations verified and clean database upgrade passed; backend 794 passed 9 skipped</x:v>
      </x:c>
      <x:c r="F19" t="str">
        <x:v>Deploy and verify production headers Swagger denial and migration startup</x:v>
      </x:c>
      <x:c r="G19" t="str">
        <x:v>SEC-003</x:v>
      </x:c>
    </x:row>
    <x:row r="20">
      <x:c r="A20" t="str">
        <x:v>QA-OPS-001</x:v>
      </x:c>
      <x:c r="B20" t="str">
        <x:v>Replica safety</x:v>
      </x:c>
      <x:c r="C20" t="str">
        <x:v>Outbox dispatcher and all scheduled notification payment and maintenance jobs</x:v>
      </x:c>
      <x:c r="D20" t="str">
        <x:v>OPS-001 PR 64 and WOW-MD PR 42</x:v>
      </x:c>
      <x:c r="E20" t="str">
        <x:v>Focused two-worker tests 7 of 7; full backend 797 passed 9 skipped; typecheck and lint passed</x:v>
      </x:c>
      <x:c r="F20" t="str">
        <x:v>Run two Railway replicas and confirm one owner and one skipped invocation in correlated logs</x:v>
      </x:c>
      <x:c r="G20" t="str">
        <x:v>OPS-001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be72213628b64177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6" t="str">
        <x:v>RISK-010</x:v>
      </x:c>
      <x:c r="B15" s="26" t="str">
        <x:v>Historical secrets enter the private production history</x:v>
      </x:c>
      <x:c r="C15" s="26" t="str">
        <x:v>Critical</x:v>
      </x:c>
      <x:c r="D15" s="26" t="str">
        <x:v>Possible</x:v>
      </x:c>
      <x:c r="E15" s="26" t="str">
        <x:v>P0</x:v>
      </x:c>
      <x:c r="F15" s="26" t="str">
        <x:v>Clean snapshot history secret scanning and push protection</x:v>
      </x:c>
      <x:c r="G15" s="26" t="str">
        <x:v>Codex</x:v>
      </x:c>
      <x:c r="H15" s="26" t="str">
        <x:v>Mitigated</x:v>
      </x:c>
      <x:c r="I15" s="26" t="str">
        <x:v>Initial scan found no tracked high-confidence signatures</x:v>
      </x:c>
    </x:row>
    <x:row r="16" ht="30" customHeight="1">
      <x:c r="A16" s="26" t="str">
        <x:v>RISK-011</x:v>
      </x:c>
      <x:c r="B16" s="26" t="str">
        <x:v>Private repository cannot enforce native branch protection or secret scanning on the current GitHub plan</x:v>
      </x:c>
      <x:c r="C16" s="26" t="str">
        <x:v>High</x:v>
      </x:c>
      <x:c r="D16" s="26" t="str">
        <x:v>Certain</x:v>
      </x:c>
      <x:c r="E16" s="26" t="str">
        <x:v>P0</x:v>
      </x:c>
      <x:c r="F16" s="26" t="str">
        <x:v>Temporarily use public visibility with protected main and native security controls; return private only on an eligible tier</x:v>
      </x:c>
      <x:c r="G16" s="26" t="str">
        <x:v>Product owner</x:v>
      </x:c>
      <x:c r="H16" s="26" t="str">
        <x:v>Mitigated</x:v>
      </x:c>
      <x:c r="I16" s="26" t="str">
        <x:v>Public visibility and controls enabled through GOV-001 on 2026-10-04</x:v>
      </x:c>
    </x:row>
    <x:row r="17" ht="30" customHeight="1">
      <x:c r="A17" s="26" t="str">
        <x:v>RISK-012</x:v>
      </x:c>
      <x:c r="B17" s="26" t="str">
        <x:v>Public source exposes architecture test conventions and historical development-only credentials</x:v>
      </x:c>
      <x:c r="C17" s="26" t="str">
        <x:v>High</x:v>
      </x:c>
      <x:c r="D17" s="26" t="str">
        <x:v>Possible</x:v>
      </x:c>
      <x:c r="E17" s="26" t="str">
        <x:v>P0</x:v>
      </x:c>
      <x:c r="F17" s="26" t="str">
        <x:v>Remove fallback credentials; keep real secrets and PII outside Git; require push protection Gitleaks and native scanning</x:v>
      </x:c>
      <x:c r="G17" s="26" t="str">
        <x:v>Security</x:v>
      </x:c>
      <x:c r="H17" s="26" t="str">
        <x:v>Mitigated</x:v>
      </x:c>
      <x:c r="I17" s="26" t="str">
        <x:v>Tracked history scanned; seed fallback removed in GOV-001; test and production credentials require external stores</x:v>
      </x:c>
    </x:row>
    <x:row r="18" ht="30" customHeight="1">
      <x:c r="A18" s="27" t="str">
        <x:v>RISK-013</x:v>
      </x:c>
      <x:c r="B18" s="27" t="str">
        <x:v>Public deployment tier is enabled before every administrator enrols MFA</x:v>
      </x:c>
      <x:c r="C18" s="27" t="str">
        <x:v>High</x:v>
      </x:c>
      <x:c r="D18" s="27" t="str">
        <x:v>Possible</x:v>
      </x:c>
      <x:c r="E18" s="27" t="str">
        <x:v>P0</x:v>
      </x:c>
      <x:c r="F18" s="27" t="str">
        <x:v>Enrol and verify each administrator in restricted staging before selecting public-beta; keep a documented recovery owner</x:v>
      </x:c>
      <x:c r="G18" s="27" t="str">
        <x:v>Security</x:v>
      </x:c>
      <x:c r="H18" s="27" t="str">
        <x:v>Open</x:v>
      </x:c>
      <x:c r="I18" s="27" t="str">
        <x:v>SEC-001 PR 56 rejects unenrolled login and existing sessions; staged enrollment evidence still required</x:v>
      </x:c>
    </x:row>
  </x:sheetData>
  <x:mergeCells>
    <x:mergeCell ref="A3:I3"/>
  </x:mergeCells>
  <x:conditionalFormatting sqref="E6:E18">
    <x:cfRule type="containsText" dxfId="12" priority="1" operator="containsText" text="P0"/>
  </x:conditionalFormatting>
  <x:conditionalFormatting sqref="H6:H18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70539203b8af49a7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Public 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Public visibility; protected main; native secret scanning and push protection enabled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Operational email</x:v>
      </x:c>
      <x:c r="C12" s="26" t="str">
        <x:v>Zoho domain mailbox DNS authentication reports and app-password rotation</x:v>
      </x:c>
      <x:c r="D12" s="26" t="str">
        <x:v>To be confirmed</x:v>
      </x:c>
      <x:c r="E12" s="26" t="str">
        <x:v>Zoho SMTP identity</x:v>
      </x:c>
      <x:c r="F12" s="26" t="str">
        <x:v>GitHub Railway or Kubernetes secrets</x:v>
      </x:c>
      <x:c r="G12" s="26" t="str">
        <x:v>Approved candidate</x:v>
      </x:c>
      <x:c r="H12" s="29" t="str"/>
      <x:c r="I12" s="26" t="str">
        <x:v>Low-volume beta only; owner must configure domain MFA app password and first delivery evidence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6" t="str">
        <x:v>ACC-009</x:v>
      </x:c>
      <x:c r="B14" s="26" t="str">
        <x:v>SMS WhatsApp push identity</x:v>
      </x:c>
      <x:c r="C14" s="26" t="str">
        <x:v>Provider sandbox then production accounts</x:v>
      </x:c>
      <x:c r="D14" s="26" t="str">
        <x:v>To be confirmed</x:v>
      </x:c>
      <x:c r="E14" s="26" t="str">
        <x:v>Provider credentials</x:v>
      </x:c>
      <x:c r="F14" s="26" t="str">
        <x:v>Protected secret store</x:v>
      </x:c>
      <x:c r="G14" s="26" t="str">
        <x:v>Deferred</x:v>
      </x:c>
      <x:c r="H14" s="29" t="str"/>
      <x:c r="I14" s="26" t="str">
        <x:v>Separate onboarding gates</x:v>
      </x:c>
    </x:row>
    <x:row r="15" ht="30" customHeight="1">
      <x:c r="A15" s="27" t="str">
        <x:v>ACC-010</x:v>
      </x:c>
      <x:c r="B15" s="27" t="str">
        <x:v>WOW-MD source review</x:v>
      </x:c>
      <x:c r="C15" s="27" t="str">
        <x:v>Private repository contents read for scheduled change reports</x:v>
      </x:c>
      <x:c r="D15" s="27" t="str">
        <x:v>RohithTadiparti</x:v>
      </x:c>
      <x:c r="E15" s="27" t="str">
        <x:v>Fine-grained WOW_SYNC_TOKEN</x:v>
      </x:c>
      <x:c r="F15" s="27" t="str">
        <x:v>Production GitHub Actions secret</x:v>
      </x:c>
      <x:c r="G15" s="27" t="str">
        <x:v>Pending</x:v>
      </x:c>
      <x:c r="H15" s="30" t="str"/>
      <x:c r="I15" s="27" t="str">
        <x:v>Scope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7c8a7adfbaa54120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7" t="str">
        <x:v>GATE-012</x:v>
      </x:c>
      <x:c r="B17" s="27" t="str">
        <x:v>Railway decommission</x:v>
      </x:c>
      <x:c r="C17" s="27" t="str">
        <x:v>Production</x:v>
      </x:c>
      <x:c r="D17" s="27" t="str">
        <x:v>72-hour stable AWS operation and separate approval</x:v>
      </x:c>
      <x:c r="E17" s="27" t="str">
        <x:v>Open</x:v>
      </x:c>
      <x:c r="F17" s="27" t="str">
        <x:v>Product owner</x:v>
      </x:c>
      <x:c r="G17" s="27" t="str"/>
      <x:c r="H17" s="30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54d3f5285878445d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6" t="str">
        <x:v>CHG-002</x:v>
      </x:c>
      <x:c r="B7" s="26" t="str">
        <x:v>RohithTadiparti/WOW-MD</x:v>
      </x:c>
      <x:c r="C7" s="26" t="str">
        <x:v>UNCOMMITTED</x:v>
      </x:c>
      <x:c r="D7" s="26" t="str">
        <x:v>.gitignore</x:v>
      </x:c>
      <x:c r="E7" s="26" t="str">
        <x:v>Repository hygiene</x:v>
      </x:c>
      <x:c r="F7" s="26" t="str">
        <x:v>Review required</x:v>
      </x:c>
      <x:c r="G7" s="26" t="str">
        <x:v>SYNC-001</x:v>
      </x:c>
      <x:c r="H7" s="26" t="str"/>
      <x:c r="I7" s="26" t="str"/>
      <x:c r="J7" s="29" t="str">
        <x:v>2026-10-04</x:v>
      </x:c>
      <x:c r="K7" s="26" t="str">
        <x:v>Three ignored paths require review before adoption</x:v>
      </x:c>
    </x:row>
    <x:row r="8" ht="30" customHeight="1">
      <x:c r="A8" s="27" t="str">
        <x:v>CHG-003</x:v>
      </x:c>
      <x:c r="B8" s="27" t="str">
        <x:v>RohithTadiparti/WOW-MD</x:v>
      </x:c>
      <x:c r="C8" s="27" t="str">
        <x:v>07218b4..de7d8dd (LOCAL ONLY)</x:v>
      </x:c>
      <x:c r="D8" s="27" t="str">
        <x:v>37 committed paths</x:v>
      </x:c>
      <x:c r="E8" s="27" t="str">
        <x:v>Functional UI candidates</x:v>
      </x:c>
      <x:c r="F8" s="27" t="str">
        <x:v>Await source publication and per-commit review</x:v>
      </x:c>
      <x:c r="G8" s="27" t="str">
        <x:v>SYNC-002</x:v>
      </x:c>
      <x:c r="H8" s="27" t="str">
        <x:v>https://github.com/RohithTadiparti/world-of-weddingz-production/pull/55</x:v>
      </x:c>
      <x:c r="I8" s="27" t="str">
        <x:v>Codex</x:v>
      </x:c>
      <x:c r="J8" s="30" t="str">
        <x:v>2026-10-04</x:v>
      </x:c>
      <x:c r="K8" s="27" t="str">
        <x:v>Local main is 21 commits ahead of origin; scheduled GitHub review intentionally sees pushed commits only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f944248192ee48c0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25" t="str">
        <x:v>GOV-002</x:v>
      </x:c>
      <x:c r="B6" s="25" t="str">
        <x:v>https://github.com/RohithTadiparti/world-of-weddingz-production/pull/49</x:v>
      </x:c>
      <x:c r="C6" s="25" t="str">
        <x:v>codex/gov-002-production-program</x:v>
      </x:c>
      <x:c r="D6" s="25" t="str">
        <x:v>1e9f458</x:v>
      </x:c>
      <x:c r="E6" s="25" t="str">
        <x:v>4444b86</x:v>
      </x:c>
      <x:c r="F6" s="25" t="str">
        <x:v>07218b4ab02a8702a4d8d9fdab7dc26e579ab7b4</x:v>
      </x:c>
      <x:c r="G6" s="25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25" t="str">
        <x:v>Documentation and governance only; no Railway deployment</x:v>
      </x:c>
      <x:c r="I6" s="25" t="str">
        <x:v>Revert PR 49; bootstrap remains clean source snapshot</x:v>
      </x:c>
      <x:c r="J6" s="25" t="str">
        <x:v>GitHub plan blocks protected private branches native secret scanning and native CodeQL upload; offline SARIF and CI Gitleaks compensate; tracked by GOV-001</x:v>
      </x:c>
      <x:c r="K6" s="70" t="str">
        <x:v>Merged</x:v>
      </x:c>
      <x:c r="L6" s="28" t="str">
        <x:v>2026-10-05</x:v>
      </x:c>
    </x:row>
    <x:row r="7" ht="30" customHeight="1">
      <x:c r="A7" s="26" t="str">
        <x:v>GOV-001</x:v>
      </x:c>
      <x:c r="B7" s="26" t="str">
        <x:v>https://github.com/RohithTadiparti/world-of-weddingz-production/pull/54</x:v>
      </x:c>
      <x:c r="C7" s="26" t="str">
        <x:v>codex/gov-001-public-protection</x:v>
      </x:c>
      <x:c r="D7" s="26" t="str">
        <x:v>922cfee</x:v>
      </x:c>
      <x:c r="E7" s="26" t="str">
        <x:v>152f4d3</x:v>
      </x:c>
      <x:c r="F7" s="26" t="str"/>
      <x:c r="G7" s="26" t="str">
        <x:v>Final PR head 152f4d3: backend E2E and tests pass; frontend pass; mobile pass; Docker pass; registers pass; Gitleaks pass; native CodeQL JavaScript/TypeScript and Actions pass; seed config 3/3; governance 7/7</x:v>
      </x:c>
      <x:c r="H7" s="26" t="str">
        <x:v>GitHub visibility and protection settings plus repository security configuration; no application deploy</x:v>
      </x:c>
      <x:c r="I7" s="26" t="str">
        <x:v>Change visibility/settings separately and revert PR; never restore fallback credential</x:v>
      </x:c>
      <x:c r="J7" s="26" t="str">
        <x:v>Public source and historical development credential; 83 dependency alerts</x:v>
      </x:c>
      <x:c r="K7" s="71" t="str">
        <x:v>Merged</x:v>
      </x:c>
      <x:c r="L7" s="29" t="str">
        <x:v>2026-10-05</x:v>
      </x:c>
    </x:row>
    <x:row r="8" ht="30" customHeight="1">
      <x:c r="A8" s="26" t="str">
        <x:v>SEC-001</x:v>
      </x:c>
      <x:c r="B8" s="26" t="str">
        <x:v>https://github.com/RohithTadiparti/world-of-weddingz-production/pull/58</x:v>
      </x:c>
      <x:c r="C8" s="26" t="str">
        <x:v>codex/sec-001-sso-login-policy</x:v>
      </x:c>
      <x:c r="D8" s="26" t="str">
        <x:v>29537ee</x:v>
      </x:c>
      <x:c r="E8" s="26" t="str">
        <x:v>3eaa03c</x:v>
      </x:c>
      <x:c r="F8" s="26" t="str">
        <x:v>WOW-MD PR 38 head f685774</x:v>
      </x:c>
      <x:c r="G8" s="26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26" t="str">
        <x:v>At the final release gate configure exact Zoho OAuth client/callback domain SPF DKIM DMARC sender mailbox and SMTP application password; then run controlled admin/non-admin SSO and email tests</x:v>
      </x:c>
      <x:c r="I8" s="26" t="str">
        <x:v>Restore the prior image/config and disable Zoho SSO; do not enable passwordless OTP or log-based mail in public tier</x:v>
      </x:c>
      <x:c r="J8" s="26" t="str">
        <x:v>Production Zoho credentials/DNS and live-provider evidence are intentionally deferred to the final release gate</x:v>
      </x:c>
      <x:c r="K8" s="71" t="str">
        <x:v>Merged</x:v>
      </x:c>
      <x:c r="L8" s="29" t="str">
        <x:v>2026-10-05</x:v>
      </x:c>
    </x:row>
    <x:row r="9" ht="30" customHeight="1">
      <x:c r="A9" s="27" t="str">
        <x:v>SYNC-002</x:v>
      </x:c>
      <x:c r="B9" s="27" t="str">
        <x:v>https://github.com/RohithTadiparti/world-of-weddingz-production/pull/55</x:v>
      </x:c>
      <x:c r="C9" s="27" t="str">
        <x:v>codex/sync-002-gated-source-review</x:v>
      </x:c>
      <x:c r="D9" s="27" t="str">
        <x:v>57e13d0</x:v>
      </x:c>
      <x:c r="E9" s="27" t="str">
        <x:v>422cbc4</x:v>
      </x:c>
      <x:c r="F9" s="27" t="str">
        <x:v>07218b4..de7d8dd local review only</x:v>
      </x:c>
      <x:c r="G9" s="27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27" t="str">
        <x:v>Add read-only WOW_SYNC_TOKEN then run the scheduled workflow once; no application or hosting deployment</x:v>
      </x:c>
      <x:c r="I9" s="27" t="str">
        <x:v>Revert PR 55 and remove WOW_SYNC_TOKEN; source and production histories remain unchanged</x:v>
      </x:c>
      <x:c r="J9" s="27" t="str">
        <x:v>Private-source token is not configured; local/unpushed source commits remain intentionally invisible to GitHub Actions</x:v>
      </x:c>
      <x:c r="K9" s="74" t="str">
        <x:v>Merged</x:v>
      </x:c>
      <x:c r="L9" s="30" t="str">
        <x:v>2026-10-05</x:v>
      </x:c>
    </x:row>
    <x:row r="10">
      <x:c r="A10" t="str">
        <x:v>DEP-001</x:v>
      </x:c>
      <x:c r="B10" t="str">
        <x:v>https://github.com/RohithTadiparti/world-of-weddingz-production/pull/59</x:v>
      </x:c>
      <x:c r="C10" t="str">
        <x:v>codex/dep-001-dependency-remediation</x:v>
      </x:c>
      <x:c r="D10" t="str">
        <x:v>29537ee</x:v>
      </x:c>
      <x:c r="E10" t="str">
        <x:v>1ecbfdf</x:v>
      </x:c>
      <x:c r="F10" t="str">
        <x:v>WOW-MD PR 39 head d8ef995</x:v>
      </x:c>
      <x:c r="G10" t="str">
        <x:v>Backend clean install typecheck lint build and 792 tests pass with 9 skipped; frontend clean install typecheck 173 tests build and 10 Playwright flows pass; runtime audits: backend 0 critical/0 high frontend 0; exact-ID mobile gate passes; production and source protected CI pass</x:v>
      </x:c>
      <x:c r="H10" t="str">
        <x:v>No deployment before review and merge; after merge let GitHub rescan manifests and confirm alert counts and audit gates on main</x:v>
      </x:c>
      <x:c r="I10" t="str">
        <x:v>Revert PR 59; restore prior lockfiles and packages; retain the audit report for comparison</x:v>
      </x:c>
      <x:c r="J10" t="str">
        <x:v>Backend moderate/low build-tool advisories and four exact no-fix Expo advisory roots remain; forced NestJS 12 and Expo downgrades were tested and rejected as unsafe</x:v>
      </x:c>
      <x:c r="K10" s="75" t="str">
        <x:v>Merged</x:v>
      </x:c>
      <x:c r="L10" t="str">
        <x:v>2026-10-05</x:v>
      </x:c>
    </x:row>
    <x:row r="11">
      <x:c r="A11" t="str">
        <x:v>GOV-003</x:v>
      </x:c>
      <x:c r="B11" t="str">
        <x:v>https://github.com/RohithTadiparti/world-of-weddingz-production/pull/61</x:v>
      </x:c>
      <x:c r="C11" t="str">
        <x:v>codex/gov-003-auth-dependency-tracking</x:v>
      </x:c>
      <x:c r="D11" t="str">
        <x:v>29537ee</x:v>
      </x:c>
      <x:c r="E11" t="str">
        <x:v>1235cd3</x:v>
      </x:c>
      <x:c r="F11" t="str">
        <x:v>SEC-001 PR 58 and DEP-001 PR 59 evidence only</x:v>
      </x:c>
      <x:c r="G11" t="str">
        <x:v>Register validator workbook regeneration and formula-error scan pass; dashboard visually reviewed</x:v>
      </x:c>
      <x:c r="H11" t="str">
        <x:v>Governance and documentation only; no application or hosting deployment</x:v>
      </x:c>
      <x:c r="I11" t="str">
        <x:v>Revert PR 61; implementation PRs and their evidence remain unchanged</x:v>
      </x:c>
      <x:c r="J11" t="str">
        <x:v>Implementation PRs still require review/merge and GitHub rescan; Zoho live configuration remains a final release gate</x:v>
      </x:c>
      <x:c r="K11" s="75" t="str">
        <x:v>Merged</x:v>
      </x:c>
      <x:c r="L11" t="str">
        <x:v>2026-10-05</x:v>
      </x:c>
    </x:row>
    <x:row r="12">
      <x:c r="A12" t="str">
        <x:v>SEC-002</x:v>
      </x:c>
      <x:c r="B12" t="str">
        <x:v>https://github.com/RohithTadiparti/world-of-weddingz-production/pull/62</x:v>
      </x:c>
      <x:c r="C12" t="str">
        <x:v>codex/sec-002-websocket-authorization</x:v>
      </x:c>
      <x:c r="D12" t="str">
        <x:v>29537ee</x:v>
      </x:c>
      <x:c r="E12" t="str">
        <x:v>4c5e7b4</x:v>
      </x:c>
      <x:c r="F12" t="str">
        <x:v>WOW-MD PR 40 head 9265a27</x:v>
      </x:c>
      <x:c r="G12" t="str">
        <x:v>11 focused chat/admin gateway tests; backend typecheck and lint; complete backend suite 800 passed with 9 skipped</x:v>
      </x:c>
      <x:c r="H12" t="str">
        <x:v>Set exact CORS_ORIGINS and smoke-test browser/native reconnect on the Railway candidate; no schema migration</x:v>
      </x:c>
      <x:c r="I12" t="str">
        <x:v>Revert PR 62; REST chat remains available while socket traffic is paused</x:v>
      </x:c>
      <x:c r="J12" t="str">
        <x:v>Native clients are allowed without an Origin header and remain protected by bearer-token/account checks; Railway cross-origin smoke evidence remains pending</x:v>
      </x:c>
      <x:c r="K12" s="75" t="str">
        <x:v>Merged</x:v>
      </x:c>
      <x:c r="L12" t="str">
        <x:v>2026-10-05</x:v>
      </x:c>
    </x:row>
    <x:row r="13">
      <x:c r="A13" t="str">
        <x:v>SEC-003</x:v>
      </x:c>
      <x:c r="B13" t="str">
        <x:v>https://github.com/RohithTadiparti/world-of-weddingz-production/pull/63</x:v>
      </x:c>
      <x:c r="C13" t="str">
        <x:v>codex/sec-003-http-migration-integrity</x:v>
      </x:c>
      <x:c r="D13" t="str">
        <x:v>29537ee</x:v>
      </x:c>
      <x:c r="E13" t="str">
        <x:v>80ef902</x:v>
      </x:c>
      <x:c r="F13" t="str">
        <x:v>WOW-MD PR 41 head ef13ff5</x:v>
      </x:c>
      <x:c r="G13" t="str">
        <x:v>2 HTTP policy tests; 2 migration verifier tests; 93 files unique; backend typecheck/lint and 794 tests with 9 skipped; upgraded wow_db and fresh 93-migration database passed</x:v>
      </x:c>
      <x:c r="H13" t="str">
        <x:v>Run migrations before application rollout and verify headers through the Railway ingress</x:v>
      </x:c>
      <x:c r="I13" t="str">
        <x:v>Revert application/header changes but retain applied migration history and safe schema additions for roll-forward</x:v>
      </x:c>
      <x:c r="J13" t="str">
        <x:v>Historical databases retain old collision rows plus new idempotent reconciliation rows; ingress evidence remains pending</x:v>
      </x:c>
      <x:c r="K13" s="75" t="str">
        <x:v>Merged</x:v>
      </x:c>
      <x:c r="L13" t="str">
        <x:v>2026-10-05</x:v>
      </x:c>
    </x:row>
    <x:row r="14">
      <x:c r="A14" t="str">
        <x:v>OPS-001</x:v>
      </x:c>
      <x:c r="B14" t="str">
        <x:v>https://github.com/RohithTadiparti/world-of-weddingz-production/pull/64</x:v>
      </x:c>
      <x:c r="C14" t="str">
        <x:v>codex/ops-001-replicated-jobs</x:v>
      </x:c>
      <x:c r="D14" t="str">
        <x:v>57e13d0</x:v>
      </x:c>
      <x:c r="E14" t="str">
        <x:v>2bf76a1</x:v>
      </x:c>
      <x:c r="F14" t="str">
        <x:v>WOW-MD commit a06067a; PR 42</x:v>
      </x:c>
      <x:c r="G14" t="str">
        <x:v>Focused replica tests 7 of 7; backend full suite 797 passed 9 skipped; typecheck and lint passed</x:v>
      </x:c>
      <x:c r="H14" t="str">
        <x:v>Deploy normally after approval; verify two replicas produce one owner and one skipped invocation for outbox and payout/reminder jobs</x:v>
      </x:c>
      <x:c r="I14" t="str">
        <x:v>Revert PR 64 and redeploy; no database or configuration rollback</x:v>
      </x:c>
      <x:c r="J14" t="str">
        <x:v>Outbox delivery is at-least-once if a worker dies after an external side effect and before processedAt; downstream Kafka consumers must honor the outbox UUID idempotency key</x:v>
      </x:c>
      <x:c r="K14" s="75" t="str">
        <x:v>Merged</x:v>
      </x:c>
      <x:c r="L14" t="str">
        <x:v>2026-10-05</x:v>
      </x:c>
    </x:row>
    <x:row r="15">
      <x:c r="A15" t="str">
        <x:v>OBS-001</x:v>
      </x:c>
      <x:c r="B15" t="str">
        <x:v>https://github.com/RohithTadiparti/world-of-weddingz-production/pull/69</x:v>
      </x:c>
      <x:c r="C15" t="str">
        <x:v>codex/obs-001-backend-observability</x:v>
      </x:c>
      <x:c r="D15" t="str">
        <x:v>122ae2d</x:v>
      </x:c>
      <x:c r="E15" t="str">
        <x:v>9d34f68</x:v>
      </x:c>
      <x:c r="F15" t="str">
        <x:v>WOW-MD PR 43 merged as 2db719b</x:v>
      </x:c>
      <x:c r="G15" t="str">
        <x:v>Focused observability and replica-lock integration 27 of 27; backend typecheck and lint plus nginx contract passed; protected CI recorded on PR 69</x:v>
      </x:c>
      <x:c r="H15" t="str">
        <x:v>Set RELEASE; keep QA capture disabled; confirm a live request ID matches response backend and nginx logs</x:v>
      </x:c>
      <x:c r="I15" t="str">
        <x:v>Revert PR 69 and redeploy; remove optional observability variables; no database rollback</x:v>
      </x:c>
      <x:c r="J15" t="str">
        <x:v>OBS-002 client error intake and OBS-003 Loki Vector host files 30-day retention remain open; live provider correlation smoke remains</x:v>
      </x:c>
      <x:c r="K15" s="75" t="str">
        <x:v>Merged</x:v>
      </x:c>
      <x:c r="L15" t="str">
        <x:v>2026-10-05</x:v>
      </x:c>
    </x:row>
    <x:row r="16">
      <x:c r="A16" t="str">
        <x:v>OBS-003</x:v>
      </x:c>
      <x:c r="B16" t="str">
        <x:v>https://github.com/RohithTadiparti/world-of-weddingz-production/pull/71</x:v>
      </x:c>
      <x:c r="C16" t="str">
        <x:v>codex/obs-003-local-log-platform</x:v>
      </x:c>
      <x:c r="D16" t="str">
        <x:v>f5d87f0</x:v>
      </x:c>
      <x:c r="E16" t="str">
        <x:v>555a1fe</x:v>
      </x:c>
      <x:c r="F16" t="str">
        <x:v>None</x:v>
      </x:c>
      <x:c r="G16" t="str">
        <x:v>Collector/Loki config validation; Grafana provisioning; retention sandbox; Compose validation; live JSONL and Loki lookup; secret canaries; exact labels; 7 provisioned alerts; Loki buffer recovery; frontend-restart persistence all pass</x:v>
      </x:c>
      <x:c r="H16" t="str">
        <x:v>Set WOW_LOG_DIR and a unique GRAFANA_ADMIN_PASSWORD; start the observability Compose profile; Grafana binds to 127.0.0.1:3300</x:v>
      </x:c>
      <x:c r="I16" t="str">
        <x:v>Stop/remove observability containers and revert PR 71; retained host logs are not automatically deleted; application services remain independent</x:v>
      </x:c>
      <x:c r="J16" t="str">
        <x:v>Single-host logs are not disaster recovery; Vector outage has only bounded Docker fallback and no guaranteed backfill; remote Loki and external alert recipients remain operator configuration</x:v>
      </x:c>
      <x:c r="K16" t="str">
        <x:v>Ready for Review</x:v>
      </x:c>
      <x:c r="L16" t="str">
        <x:v>2026-10-06</x:v>
      </x:c>
    </x:row>
    <x:row r="17">
      <x:c r="A17"/>
      <x:c r="B17"/>
      <x:c r="C17"/>
      <x:c r="D17"/>
      <x:c r="E17"/>
      <x:c r="F17"/>
      <x:c r="G17"/>
      <x:c r="H17"/>
      <x:c r="I17"/>
      <x:c r="J17"/>
      <x:c r="K17"/>
      <x:c r="L17"/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</x:row>
    <x:row r="19">
      <x:c r="A19"/>
      <x:c r="B19"/>
      <x:c r="C19"/>
      <x:c r="D19"/>
      <x:c r="E19"/>
      <x:c r="F19"/>
      <x:c r="G19"/>
      <x:c r="H19"/>
      <x:c r="I19"/>
      <x:c r="J19"/>
      <x:c r="K19"/>
      <x:c r="L19"/>
    </x:row>
  </x:sheetData>
  <x:mergeCells>
    <x:mergeCell ref="A3:L3"/>
  </x:mergeCells>
  <x:conditionalFormatting sqref="K6:K9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8a6bedf623164e35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Each source review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6" t="str">
        <x:v>DOC-012</x:v>
      </x:c>
      <x:c r="B17" s="26" t="str">
        <x:v>Production tracking workbook</x:v>
      </x:c>
      <x:c r="C17" s="26" t="str">
        <x:v>docs/tracking/production-readiness-tracker.xlsx</x:v>
      </x:c>
      <x:c r="D17" s="26" t="str">
        <x:v>Program management</x:v>
      </x:c>
      <x:c r="E17" s="26" t="str">
        <x:v>Generated</x:v>
      </x:c>
      <x:c r="F17" s="26" t="str">
        <x:v>Each change</x:v>
      </x:c>
      <x:c r="G17" s="26" t="str">
        <x:v>2026-10-04</x:v>
      </x:c>
      <x:c r="H17" s="26" t="str">
        <x:v>GOV-002</x:v>
      </x:c>
    </x:row>
    <x:row r="18" ht="30" customHeight="1">
      <x:c r="A18" s="26" t="str">
        <x:v>DOC-013</x:v>
      </x:c>
      <x:c r="B18" s="26" t="str">
        <x:v>Gated source synchronization plan</x:v>
      </x:c>
      <x:c r="C18" s="26" t="str">
        <x:v>docs/superpowers/plans/2026-10-04-gated-source-synchronization.md</x:v>
      </x:c>
      <x:c r="D18" s="26" t="str">
        <x:v>Release engineering</x:v>
      </x:c>
      <x:c r="E18" s="26" t="str">
        <x:v>Active</x:v>
      </x:c>
      <x:c r="F18" s="26" t="str">
        <x:v>On synchronization policy change</x:v>
      </x:c>
      <x:c r="G18" s="26" t="str">
        <x:v>2026-10-04</x:v>
      </x:c>
      <x:c r="H18" s="26" t="str">
        <x:v>SYNC-002</x:v>
      </x:c>
    </x:row>
    <x:row r="19" ht="30" customHeight="1">
      <x:c r="A19" s="26" t="str">
        <x:v>DOC-014</x:v>
      </x:c>
      <x:c r="B19" s="26" t="str">
        <x:v>SEC-001 implementation plan</x:v>
      </x:c>
      <x:c r="C19" s="26" t="str">
        <x:v>docs/superpowers/plans/2026-10-04-sec-001-admin-mfa-provider-policy.md</x:v>
      </x:c>
      <x:c r="D19" s="26" t="str">
        <x:v>Security</x:v>
      </x:c>
      <x:c r="E19" s="26" t="str">
        <x:v>Active</x:v>
      </x:c>
      <x:c r="F19" s="26" t="str">
        <x:v>On authentication/provider policy change</x:v>
      </x:c>
      <x:c r="G19" s="26" t="str">
        <x:v>2026-10-04</x:v>
      </x:c>
      <x:c r="H19" s="26" t="str">
        <x:v>SEC-001</x:v>
      </x:c>
    </x:row>
    <x:row r="20" ht="30" customHeight="1">
      <x:c r="A20" s="27" t="str">
        <x:v>DOC-015</x:v>
      </x:c>
      <x:c r="B20" s="27" t="str">
        <x:v>Zoho Mail SMTP operating guide</x:v>
      </x:c>
      <x:c r="C20" s="27" t="str">
        <x:v>docs/operations/zoho-mail.md</x:v>
      </x:c>
      <x:c r="D20" s="27" t="str">
        <x:v>Security and operations</x:v>
      </x:c>
      <x:c r="E20" s="27" t="str">
        <x:v>Approved candidate</x:v>
      </x:c>
      <x:c r="F20" s="27" t="str">
        <x:v>Quarterly or provider change</x:v>
      </x:c>
      <x:c r="G20" s="27" t="str">
        <x:v>2026-10-04</x:v>
      </x:c>
      <x:c r="H20" s="27" t="str">
        <x:v>SEC-001 OPS-003</x:v>
      </x:c>
    </x:row>
  </x:sheetData>
  <x:mergeCells>
    <x:mergeCell ref="A3:H3"/>
  </x:mergeCells>
  <x:conditionalFormatting sqref="E6:E20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068394b04cc4457e"/>
  </x:tableParts>
</x:worksheet>
</file>