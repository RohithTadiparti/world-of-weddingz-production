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f3c0a786ea49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7df0f9914894907"/>
    <x:sheet xmlns:r="http://schemas.openxmlformats.org/officeDocument/2006/relationships" name="Open Items" sheetId="2" r:id="R68804a89813f4b5f"/>
    <x:sheet xmlns:r="http://schemas.openxmlformats.org/officeDocument/2006/relationships" name="Requirements" sheetId="3" r:id="R9b27cde7d36d40c6"/>
    <x:sheet xmlns:r="http://schemas.openxmlformats.org/officeDocument/2006/relationships" name="Test Inventory" sheetId="4" r:id="R8563e05c03a44a0c"/>
    <x:sheet xmlns:r="http://schemas.openxmlformats.org/officeDocument/2006/relationships" name="Risks" sheetId="5" r:id="R4435416debb841e8"/>
    <x:sheet xmlns:r="http://schemas.openxmlformats.org/officeDocument/2006/relationships" name="Access" sheetId="6" r:id="Rab75932cb0c24236"/>
    <x:sheet xmlns:r="http://schemas.openxmlformats.org/officeDocument/2006/relationships" name="Release Gates" sheetId="7" r:id="Ra05f7be5ed4241bf"/>
    <x:sheet xmlns:r="http://schemas.openxmlformats.org/officeDocument/2006/relationships" name="Change Intake" sheetId="8" r:id="R2c0f08a920424505"/>
    <x:sheet xmlns:r="http://schemas.openxmlformats.org/officeDocument/2006/relationships" name="PR Handoffs" sheetId="9" r:id="Re0e79451554c4a60"/>
    <x:sheet xmlns:r="http://schemas.openxmlformats.org/officeDocument/2006/relationships" name="Documents" sheetId="10" r:id="R3eb7011c83984e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1b5514c49c4238" /><Relationship Type="http://schemas.openxmlformats.org/officeDocument/2006/relationships/theme" Target="/xl/theme/theme1.xml" Id="R35b692c1881a4c87" /><Relationship Type="http://schemas.openxmlformats.org/officeDocument/2006/relationships/sharedStrings" Target="/xl/sharedStrings.xml" Id="Rd5eedd118e9043fa" /><Relationship Type="http://schemas.openxmlformats.org/officeDocument/2006/relationships/worksheet" Target="/xl/worksheets/sheet1.xml" Id="Rc7df0f9914894907" /><Relationship Type="http://schemas.openxmlformats.org/officeDocument/2006/relationships/worksheet" Target="/xl/worksheets/sheet2.xml" Id="R68804a89813f4b5f" /><Relationship Type="http://schemas.openxmlformats.org/officeDocument/2006/relationships/worksheet" Target="/xl/worksheets/sheet3.xml" Id="R9b27cde7d36d40c6" /><Relationship Type="http://schemas.openxmlformats.org/officeDocument/2006/relationships/worksheet" Target="/xl/worksheets/sheet4.xml" Id="R8563e05c03a44a0c" /><Relationship Type="http://schemas.openxmlformats.org/officeDocument/2006/relationships/worksheet" Target="/xl/worksheets/sheet5.xml" Id="R4435416debb841e8" /><Relationship Type="http://schemas.openxmlformats.org/officeDocument/2006/relationships/worksheet" Target="/xl/worksheets/sheet6.xml" Id="Rab75932cb0c24236" /><Relationship Type="http://schemas.openxmlformats.org/officeDocument/2006/relationships/worksheet" Target="/xl/worksheets/sheet7.xml" Id="Ra05f7be5ed4241bf" /><Relationship Type="http://schemas.openxmlformats.org/officeDocument/2006/relationships/worksheet" Target="/xl/worksheets/sheet8.xml" Id="R2c0f08a920424505" /><Relationship Type="http://schemas.openxmlformats.org/officeDocument/2006/relationships/worksheet" Target="/xl/worksheets/sheet9.xml" Id="Re0e79451554c4a60" /><Relationship Type="http://schemas.openxmlformats.org/officeDocument/2006/relationships/worksheet" Target="/xl/worksheets/sheet10.xml" Id="R3eb7011c83984e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c115c2266f4c1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c115c2266f4c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7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3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8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9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0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5076d8006a4a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45519934ee43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dc418640084c9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f6a9523139243b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29b5fd99f4747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3232c454d4495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a9dd407c2d345e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1254912a1424da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fcaf48711b94f0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0a0800dfcc14e4e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2026-10-04.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Items'!$A$6:$A$37)</x:f>
        <x:v>32</x:v>
      </x:c>
      <x:c r="D6" s="33" t="str">
        <x:v>P0 items not done</x:v>
      </x:c>
      <x:c r="E6" s="34" t="n">
        <x:f>COUNTIFS('Open Items'!$E$6:$E$37,"P0",'Open Items'!$F$6:$F$37,"&lt;&gt;Done")</x:f>
        <x:v>20</x:v>
      </x:c>
      <x:c r="G6" s="39" t="str">
        <x:v>Open</x:v>
      </x:c>
      <x:c r="H6" s="39" t="n">
        <x:f>B7</x:f>
        <x:v>28</x:v>
      </x:c>
    </x:row>
    <x:row r="7">
      <x:c r="A7" s="33" t="str">
        <x:v>Open</x:v>
      </x:c>
      <x:c r="B7" s="34" t="n">
        <x:f>COUNTIF('Open Items'!$F$6:$F$37,"Open")</x:f>
        <x:v>28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Items'!$F$6:$F$37,"In Progress")</x:f>
        <x:v>0</x:v>
      </x:c>
      <x:c r="D8" s="33" t="str">
        <x:v>Open risks</x:v>
      </x:c>
      <x:c r="E8" s="34" t="n">
        <x:f>COUNTIF(Risks!$H$6:$H$18,"Open")</x:f>
        <x:v>10</x:v>
      </x:c>
      <x:c r="G8" s="39" t="str">
        <x:v>PR Open</x:v>
      </x:c>
      <x:c r="H8" s="39" t="n">
        <x:f>B9</x:f>
        <x:v>0</x:v>
      </x:c>
    </x:row>
    <x:row r="9">
      <x:c r="A9" s="33" t="str">
        <x:v>PR Open</x:v>
      </x:c>
      <x:c r="B9" s="34" t="n">
        <x:f>COUNTIF('Open Items'!$F$6:$F$37,"PR Open")</x:f>
        <x:v>0</x:v>
      </x:c>
      <x:c r="D9" s="33" t="str">
        <x:v>P0 open risks</x:v>
      </x:c>
      <x:c r="E9" s="34" t="n">
        <x:f>COUNTIFS(Risks!$E$6:$E$18,"P0",Risks!$H$6:$H$18,"Open")</x:f>
        <x:v>9</x:v>
      </x:c>
      <x:c r="G9" s="39" t="str">
        <x:v>Blocked</x:v>
      </x:c>
      <x:c r="H9" s="39" t="n">
        <x:f>B10</x:f>
        <x:v>2</x:v>
      </x:c>
    </x:row>
    <x:row r="10">
      <x:c r="A10" s="33" t="str">
        <x:v>Blocked</x:v>
      </x:c>
      <x:c r="B10" s="34" t="n">
        <x:f>COUNTIF('Open Items'!$F$6:$F$37,"Blocked")</x:f>
        <x:v>2</x:v>
      </x:c>
      <x:c r="D10" s="33" t="str">
        <x:v>Approved requirements</x:v>
      </x:c>
      <x:c r="E10" s="34" t="n">
        <x:f>COUNTIF(Requirements!$G$6:$G$23,"Approved")</x:f>
        <x:v>18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Items'!$F$6:$F$37,"Done")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235076d8006a4a39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Enforce administrator MFA and production provider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Blocked</x:v>
      </x:c>
      <x:c r="G6" s="25" t="str">
        <x:v>Product owner</x:v>
      </x:c>
      <x:c r="H6" s="25" t="str"/>
      <x:c r="I6" s="25" t="str">
        <x:v>Admin cannot use privileged access without MFA; unsafe production provider combinations fail startup</x:v>
      </x:c>
      <x:c r="J6" s="25" t="str">
        <x:v>Production plan Task 1A</x:v>
      </x:c>
      <x:c r="K6" s="25" t="str">
        <x:v>https://github.com/RohithTadiparti/world-of-weddingz-production/issues/6</x:v>
      </x:c>
      <x:c r="L6" s="25" t="str">
        <x:v>https://github.com/RohithTadiparti/world-of-weddingz-production/pull/56</x:v>
      </x:c>
      <x:c r="M6" s="28" t="str">
        <x:v>2026-10-04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Open</x:v>
      </x:c>
      <x:c r="G10" s="26" t="str">
        <x:v>Unassigned</x:v>
      </x:c>
      <x:c r="H10" s="26" t="str"/>
      <x:c r="I10" s="26" t="str">
        <x:v>No unaccepted critical/high production advisory; CI blocks regression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/>
      <x:c r="M10" s="29" t="str">
        <x:v>2026-10-04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MFA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Five-minute single-use scoped token protects migration start</x:v>
      </x:c>
      <x:c r="J20" s="26" t="str">
        <x:v>Production plan Task 9</x:v>
      </x:c>
      <x:c r="K20" s="26" t="str">
        <x:v>https://github.com/RohithTadiparti/world-of-weddingz-production/issues/20</x:v>
      </x:c>
      <x:c r="L20" s="26" t="str"/>
      <x:c r="M20" s="29" t="str">
        <x:v>2026-10-04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7" t="str">
        <x:v>GOV-002</x:v>
      </x:c>
      <x:c r="B37" s="27" t="str">
        <x:v>Establish SDLC knowledge and tracking system</x:v>
      </x:c>
      <x:c r="C37" s="27" t="str">
        <x:v>Governance</x:v>
      </x:c>
      <x:c r="D37" s="27" t="str">
        <x:v>Governance</x:v>
      </x:c>
      <x:c r="E37" s="27" t="str">
        <x:v>P0</x:v>
      </x:c>
      <x:c r="F37" s="27" t="str">
        <x:v>Done</x:v>
      </x:c>
      <x:c r="G37" s="27" t="str">
        <x:v>Codex</x:v>
      </x:c>
      <x:c r="H37" s="27" t="str"/>
      <x:c r="I37" s="27" t="str">
        <x:v>Markdown CSV Excel issues PR protocol and Obsidian index are linked and verified</x:v>
      </x:c>
      <x:c r="J37" s="27" t="str">
        <x:v>User request</x:v>
      </x:c>
      <x:c r="K37" s="27" t="str">
        <x:v>https://github.com/RohithTadiparti/world-of-weddingz-production/issues/37</x:v>
      </x:c>
      <x:c r="L37" s="27" t="str">
        <x:v>https://github.com/RohithTadiparti/world-of-weddingz-production/pull/49</x:v>
      </x:c>
      <x:c r="M37" s="30" t="str">
        <x:v>2026-10-04</x:v>
      </x:c>
    </x:row>
  </x:sheetData>
  <x:mergeCells>
    <x:mergeCell ref="A3:M3"/>
  </x:mergeCells>
  <x:conditionalFormatting sqref="E6:E37">
    <x:cfRule type="containsText" dxfId="0" priority="1" operator="containsText" text="P0"/>
  </x:conditionalFormatting>
  <x:conditionalFormatting sqref="F6:F37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e745519934ee43a5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7" t="str">
        <x:v>REQ-REV-001</x:v>
      </x:c>
      <x:c r="B23" s="27" t="str">
        <x:v>AWS migration readiness reports INR 1.2M target and INR 1.5M preferred monthly net revenue</x:v>
      </x:c>
      <x:c r="C23" s="27" t="str">
        <x:v>Migration design</x:v>
      </x:c>
      <x:c r="D23" s="27" t="str">
        <x:v>P1</x:v>
      </x:c>
      <x:c r="E23" s="27" t="str">
        <x:v>Admin readiness UI test</x:v>
      </x:c>
      <x:c r="F23" s="27" t="str">
        <x:v>UI-001</x:v>
      </x:c>
      <x:c r="G23" s="27" t="str">
        <x:v>Approved</x:v>
      </x:c>
    </x:row>
  </x:sheetData>
  <x:mergeCells>
    <x:mergeCell ref="A3:G3"/>
  </x:mergeCells>
  <x:conditionalFormatting sqref="D6:D23">
    <x:cfRule type="containsText" dxfId="6" priority="1" operator="containsText" text="P0"/>
  </x:conditionalFormatting>
  <x:conditionalFormatting sqref="G6:G23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bdc418640084c9e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af6a9523139243b2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7" t="str">
        <x:v>RISK-013</x:v>
      </x:c>
      <x:c r="B18" s="27" t="str">
        <x:v>Public deployment tier is enabled before every administrator enrols MFA</x:v>
      </x:c>
      <x:c r="C18" s="27" t="str">
        <x:v>High</x:v>
      </x:c>
      <x:c r="D18" s="27" t="str">
        <x:v>Possible</x:v>
      </x:c>
      <x:c r="E18" s="27" t="str">
        <x:v>P0</x:v>
      </x:c>
      <x:c r="F18" s="27" t="str">
        <x:v>Enrol and verify each administrator in restricted staging before selecting public-beta; keep a documented recovery owner</x:v>
      </x:c>
      <x:c r="G18" s="27" t="str">
        <x:v>Security</x:v>
      </x:c>
      <x:c r="H18" s="27" t="str">
        <x:v>Open</x:v>
      </x:c>
      <x:c r="I18" s="27" t="str">
        <x:v>SEC-001 PR 56 rejects unenrolled login and existing sessions; staged enrollment evidence still required</x:v>
      </x:c>
    </x:row>
  </x:sheetData>
  <x:mergeCells>
    <x:mergeCell ref="A3:I3"/>
  </x:mergeCells>
  <x:conditionalFormatting sqref="E6:E18">
    <x:cfRule type="containsText" dxfId="12" priority="1" operator="containsText" text="P0"/>
  </x:conditionalFormatting>
  <x:conditionalFormatting sqref="H6:H18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29b5fd99f4747e6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Operational email</x:v>
      </x:c>
      <x:c r="C12" s="26" t="str">
        <x:v>Zoho domain mailbox DNS authentication reports and app-password rotation</x:v>
      </x:c>
      <x:c r="D12" s="26" t="str">
        <x:v>To be confirmed</x:v>
      </x:c>
      <x:c r="E12" s="26" t="str">
        <x:v>Zoho SMTP identity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Low-volume beta only; owner must configure domain MFA app password and first delivery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Private 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Pending</x:v>
      </x:c>
      <x:c r="H15" s="30" t="str"/>
      <x:c r="I15" s="27" t="str">
        <x:v>Scope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583232c454d4495b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a9dd407c2d345e2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71254912a1424da7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https://github.com/RohithTadiparti/world-of-weddingz-production/pull/56</x:v>
      </x:c>
      <x:c r="C8" s="26" t="str">
        <x:v>codex/sec-001-admin-mfa-provider-policy</x:v>
      </x:c>
      <x:c r="D8" s="26" t="str">
        <x:v>57e13d0</x:v>
      </x:c>
      <x:c r="E8" s="26" t="str">
        <x:v>fad2ef5</x:v>
      </x:c>
      <x:c r="F8" s="26" t="str">
        <x:v>WOW-MD PR 37 merged as b28c334; application mirror commit 1482d83</x:v>
      </x:c>
      <x:c r="G8" s="26" t="str">
        <x:v>Config policy 6/6; auth and JWT 49/49; WOW-MD mirror focused suite 55/55; backend typecheck and lint pass; governance and synchronization 19/19; protected production and source CI passed including retained 30-day CodeQL SARIF</x:v>
      </x:c>
      <x:c r="H8" s="26" t="str">
        <x:v>Configure Zoho SMTP S3 HTTPS and administrator TOTP in staging; select public-beta only after delivery and enrollment evidence</x:v>
      </x:c>
      <x:c r="I8" s="26" t="str">
        <x:v>Restore previous image/config; do not fall back to log/mock in a public tier; pause email-dependent workflows</x:v>
      </x:c>
      <x:c r="J8" s="26" t="str">
        <x:v>Zoho owner/DNS/secrets and first delivery are pending; administrators must enrol before public tier; Zoho Mail is low-volume only</x:v>
      </x:c>
      <x:c r="K8" s="26" t="str">
        <x:v>Blocked</x:v>
      </x:c>
      <x:c r="L8" s="29" t="str">
        <x:v>2026-10-04</x:v>
      </x:c>
    </x:row>
    <x:row r="9" ht="30" customHeight="1">
      <x:c r="A9" s="27" t="str">
        <x:v>SYNC-002</x:v>
      </x:c>
      <x:c r="B9" s="27" t="str">
        <x:v>https://github.com/RohithTadiparti/world-of-weddingz-production/pull/55</x:v>
      </x:c>
      <x:c r="C9" s="27" t="str">
        <x:v>codex/sync-002-gated-source-review</x:v>
      </x:c>
      <x:c r="D9" s="27" t="str">
        <x:v>57e13d0</x:v>
      </x:c>
      <x:c r="E9" s="27" t="str">
        <x:v>422cbc4</x:v>
      </x:c>
      <x:c r="F9" s="27" t="str">
        <x:v>07218b4..de7d8dd local review only</x:v>
      </x:c>
      <x:c r="G9" s="27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7" t="str">
        <x:v>Add read-only WOW_SYNC_TOKEN then run the scheduled workflow once; no application or hosting deployment</x:v>
      </x:c>
      <x:c r="I9" s="27" t="str">
        <x:v>Revert PR 55 and remove WOW_SYNC_TOKEN; source and production histories remain unchanged</x:v>
      </x:c>
      <x:c r="J9" s="27" t="str">
        <x:v>Private-source token is not configured; local/unpushed source commits remain intentionally invisible to GitHub Actions</x:v>
      </x:c>
      <x:c r="K9" s="27" t="str">
        <x:v>Blocked</x:v>
      </x:c>
      <x:c r="L9" s="30" t="str">
        <x:v>2026-10-04</x:v>
      </x:c>
    </x:row>
  </x:sheetData>
  <x:mergeCells>
    <x:mergeCell ref="A3:L3"/>
  </x:mergeCells>
  <x:conditionalFormatting sqref="K6:K9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fcaf48711b94f06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7" t="str">
        <x:v>DOC-015</x:v>
      </x:c>
      <x:c r="B20" s="27" t="str">
        <x:v>Zoho Mail SMTP operating guide</x:v>
      </x:c>
      <x:c r="C20" s="27" t="str">
        <x:v>docs/operations/zoho-mail.md</x:v>
      </x:c>
      <x:c r="D20" s="27" t="str">
        <x:v>Security and operations</x:v>
      </x:c>
      <x:c r="E20" s="27" t="str">
        <x:v>Approved candidate</x:v>
      </x:c>
      <x:c r="F20" s="27" t="str">
        <x:v>Quarterly or provider change</x:v>
      </x:c>
      <x:c r="G20" s="27" t="str">
        <x:v>2026-10-04</x:v>
      </x:c>
      <x:c r="H20" s="27" t="str">
        <x:v>SEC-001 OPS-003</x:v>
      </x:c>
    </x:row>
  </x:sheetData>
  <x:mergeCells>
    <x:mergeCell ref="A3:H3"/>
  </x:mergeCells>
  <x:conditionalFormatting sqref="E6:E20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0a0800dfcc14e4e"/>
  </x:tableParts>
</x:worksheet>
</file>