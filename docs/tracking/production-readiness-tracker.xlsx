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146395aa44c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4f336f9935742ca"/>
    <x:sheet xmlns:r="http://schemas.openxmlformats.org/officeDocument/2006/relationships" name="Open Items" sheetId="2" r:id="R9901f37c9c874e00"/>
    <x:sheet xmlns:r="http://schemas.openxmlformats.org/officeDocument/2006/relationships" name="Requirements" sheetId="3" r:id="Rf4b1a2ca9c9746d9"/>
    <x:sheet xmlns:r="http://schemas.openxmlformats.org/officeDocument/2006/relationships" name="Test Inventory" sheetId="4" r:id="Rf706757a74374764"/>
    <x:sheet xmlns:r="http://schemas.openxmlformats.org/officeDocument/2006/relationships" name="Risks" sheetId="5" r:id="Re26a8558b3274876"/>
    <x:sheet xmlns:r="http://schemas.openxmlformats.org/officeDocument/2006/relationships" name="Access" sheetId="6" r:id="Rfa92f141ee5747aa"/>
    <x:sheet xmlns:r="http://schemas.openxmlformats.org/officeDocument/2006/relationships" name="Release Gates" sheetId="7" r:id="R2df9db738f38447f"/>
    <x:sheet xmlns:r="http://schemas.openxmlformats.org/officeDocument/2006/relationships" name="Change Intake" sheetId="8" r:id="R7e84d5c5158e4d24"/>
    <x:sheet xmlns:r="http://schemas.openxmlformats.org/officeDocument/2006/relationships" name="PR Handoffs" sheetId="9" r:id="Re893abebb1aa485b"/>
    <x:sheet xmlns:r="http://schemas.openxmlformats.org/officeDocument/2006/relationships" name="Documents" sheetId="10" r:id="R7f1d253fe9ec48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d7dad2a7804c68" /><Relationship Type="http://schemas.openxmlformats.org/officeDocument/2006/relationships/theme" Target="/xl/theme/theme1.xml" Id="R38518ab754974650" /><Relationship Type="http://schemas.openxmlformats.org/officeDocument/2006/relationships/sharedStrings" Target="/xl/sharedStrings.xml" Id="R305cc07d2c874bbd" /><Relationship Type="http://schemas.openxmlformats.org/officeDocument/2006/relationships/worksheet" Target="/xl/worksheets/sheet1.xml" Id="Ra4f336f9935742ca" /><Relationship Type="http://schemas.openxmlformats.org/officeDocument/2006/relationships/worksheet" Target="/xl/worksheets/sheet2.xml" Id="R9901f37c9c874e00" /><Relationship Type="http://schemas.openxmlformats.org/officeDocument/2006/relationships/worksheet" Target="/xl/worksheets/sheet3.xml" Id="Rf4b1a2ca9c9746d9" /><Relationship Type="http://schemas.openxmlformats.org/officeDocument/2006/relationships/worksheet" Target="/xl/worksheets/sheet4.xml" Id="Rf706757a74374764" /><Relationship Type="http://schemas.openxmlformats.org/officeDocument/2006/relationships/worksheet" Target="/xl/worksheets/sheet5.xml" Id="Re26a8558b3274876" /><Relationship Type="http://schemas.openxmlformats.org/officeDocument/2006/relationships/worksheet" Target="/xl/worksheets/sheet6.xml" Id="Rfa92f141ee5747aa" /><Relationship Type="http://schemas.openxmlformats.org/officeDocument/2006/relationships/worksheet" Target="/xl/worksheets/sheet7.xml" Id="R2df9db738f38447f" /><Relationship Type="http://schemas.openxmlformats.org/officeDocument/2006/relationships/worksheet" Target="/xl/worksheets/sheet8.xml" Id="R7e84d5c5158e4d24" /><Relationship Type="http://schemas.openxmlformats.org/officeDocument/2006/relationships/worksheet" Target="/xl/worksheets/sheet9.xml" Id="Re893abebb1aa485b" /><Relationship Type="http://schemas.openxmlformats.org/officeDocument/2006/relationships/worksheet" Target="/xl/worksheets/sheet10.xml" Id="R7f1d253fe9ec48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befe3b9fad48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befe3b9fad48d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5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5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4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7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6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17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f74c451d9449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c8234f6f0e4a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88180588ac43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16f0fea41c402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96af530502453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cf12d60391c4fb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91b73e7e35243d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803730cfffb4e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394e67032b749b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193333f11ad4b29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private production repository.</x:v>
      </x:c>
    </x:row>
    <x:row r="5">
      <x:c r="A5" s="34" t="str">
        <x:v>Work items</x:v>
      </x:c>
      <x:c r="B5" s="35" t="str">
        <x:v>Count</x:v>
      </x:c>
      <x:c r="D5" s="34" t="str">
        <x:v>Readiness</x:v>
      </x:c>
      <x:c r="E5" s="35" t="str">
        <x:v>Count</x:v>
      </x:c>
      <x:c r="G5" s="40" t="str">
        <x:v>Status</x:v>
      </x:c>
      <x:c r="H5" s="40" t="str">
        <x:v>Count</x:v>
      </x:c>
    </x:row>
    <x:row r="6">
      <x:c r="A6" s="36" t="str">
        <x:v>Total</x:v>
      </x:c>
      <x:c r="B6" s="37" t="n">
        <x:f>COUNTA('Open Items'!$A$6:$A$37)</x:f>
        <x:v>32</x:v>
      </x:c>
      <x:c r="D6" s="36" t="str">
        <x:v>P0 items not done</x:v>
      </x:c>
      <x:c r="E6" s="37" t="n">
        <x:f>COUNTIFS('Open Items'!$E$6:$E$37,"P0",'Open Items'!$F$6:$F$37,"&lt;&gt;Done")</x:f>
        <x:v>22</x:v>
      </x:c>
      <x:c r="G6" s="40" t="str">
        <x:v>Open</x:v>
      </x:c>
      <x:c r="H6" s="40" t="n">
        <x:f>B7</x:f>
        <x:v>30</x:v>
      </x:c>
    </x:row>
    <x:row r="7">
      <x:c r="A7" s="36" t="str">
        <x:v>Open</x:v>
      </x:c>
      <x:c r="B7" s="37" t="n">
        <x:f>COUNTIF('Open Items'!$F$6:$F$37,"Open")</x:f>
        <x:v>30</x:v>
      </x:c>
      <x:c r="D7" s="36" t="str">
        <x:v>Open release gates</x:v>
      </x:c>
      <x:c r="E7" s="37" t="n">
        <x:f>COUNTIF('Release Gates'!$E$6:$E$17,"Open")</x:f>
        <x:v>11</x:v>
      </x:c>
      <x:c r="G7" s="40" t="str">
        <x:v>In Progress</x:v>
      </x:c>
      <x:c r="H7" s="40" t="n">
        <x:f>B8</x:f>
        <x:v>2</x:v>
      </x:c>
    </x:row>
    <x:row r="8">
      <x:c r="A8" s="36" t="str">
        <x:v>In Progress</x:v>
      </x:c>
      <x:c r="B8" s="37" t="n">
        <x:f>COUNTIF('Open Items'!$F$6:$F$37,"In Progress")</x:f>
        <x:v>2</x:v>
      </x:c>
      <x:c r="D8" s="36" t="str">
        <x:v>Open risks</x:v>
      </x:c>
      <x:c r="E8" s="37" t="n">
        <x:f>COUNTIF(Risks!$H$6:$H$15,"Open")</x:f>
        <x:v>9</x:v>
      </x:c>
      <x:c r="G8" s="40" t="str">
        <x:v>PR Open</x:v>
      </x:c>
      <x:c r="H8" s="40" t="n">
        <x:f>B9</x:f>
        <x:v>0</x:v>
      </x:c>
    </x:row>
    <x:row r="9">
      <x:c r="A9" s="36" t="str">
        <x:v>PR Open</x:v>
      </x:c>
      <x:c r="B9" s="37" t="n">
        <x:f>COUNTIF('Open Items'!$F$6:$F$37,"PR Open")</x:f>
        <x:v>0</x:v>
      </x:c>
      <x:c r="D9" s="36" t="str">
        <x:v>P0 open risks</x:v>
      </x:c>
      <x:c r="E9" s="37" t="n">
        <x:f>COUNTIFS(Risks!$E$6:$E$15,"P0",Risks!$H$6:$H$15,"Open")</x:f>
        <x:v>8</x:v>
      </x:c>
      <x:c r="G9" s="40" t="str">
        <x:v>Blocked</x:v>
      </x:c>
      <x:c r="H9" s="40" t="n">
        <x:f>B10</x:f>
        <x:v>0</x:v>
      </x:c>
    </x:row>
    <x:row r="10">
      <x:c r="A10" s="36" t="str">
        <x:v>Blocked</x:v>
      </x:c>
      <x:c r="B10" s="37" t="n">
        <x:f>COUNTIF('Open Items'!$F$6:$F$37,"Blocked")</x:f>
        <x:v>0</x:v>
      </x:c>
      <x:c r="D10" s="36" t="str">
        <x:v>Approved requirements</x:v>
      </x:c>
      <x:c r="E10" s="37" t="n">
        <x:f>COUNTIF(Requirements!$G$6:$G$23,"Approved")</x:f>
        <x:v>18</x:v>
      </x:c>
      <x:c r="G10" s="40" t="str">
        <x:v>Done</x:v>
      </x:c>
      <x:c r="H10" s="40" t="n">
        <x:f>B11</x:f>
        <x:v>0</x:v>
      </x:c>
    </x:row>
    <x:row r="11">
      <x:c r="A11" s="36" t="str">
        <x:v>Done</x:v>
      </x:c>
      <x:c r="B11" s="37" t="n">
        <x:f>COUNTIF('Open Items'!$F$6:$F$37,"Done")</x:f>
        <x:v>0</x:v>
      </x:c>
      <x:c r="G11" t="str"/>
      <x:c r="H11"/>
    </x:row>
    <x:row r="13">
      <x:c r="A13" s="39" t="str">
        <x:v>Launch gate</x:v>
      </x:c>
      <x:c r="B13" s="39" t="str">
        <x:v>Current state</x:v>
      </x:c>
      <x:c r="C13" s="39" t="str">
        <x:v>Owner</x:v>
      </x:c>
      <x:c r="D13" s="39" t="str">
        <x:v>Evidence needed</x:v>
      </x:c>
      <x:c r="E13" s="39" t="str">
        <x:v>Rule</x:v>
      </x:c>
    </x:row>
    <x:row r="14">
      <x:c r="A14" s="26" t="str">
        <x:v>Repository foundation</x:v>
      </x:c>
      <x:c r="B14" s="26" t="str">
        <x:v>In Progress</x:v>
      </x:c>
      <x:c r="C14" s="26" t="str">
        <x:v>Codex</x:v>
      </x:c>
      <x:c r="D14" s="26" t="str">
        <x:v>Initial commit, issues, protections and green governance CI</x:v>
      </x:c>
      <x:c r="E14" s="26" t="str">
        <x:v>Complete before implementation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d5f74c451d9449a9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Open</x:v>
      </x:c>
      <x:c r="G6" s="25" t="str">
        <x:v>Unassigned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/>
      <x:c r="L6" s="25" t="str"/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/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/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/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/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/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/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/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/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/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/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/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/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/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/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/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/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/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/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/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/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/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/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/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/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/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Open</x:v>
      </x:c>
      <x:c r="G32" s="26" t="str">
        <x:v>Unassigned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/>
      <x:c r="L32" s="26" t="str"/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/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/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/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In Progress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/>
      <x:c r="L36" s="26" t="str"/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In Progress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/>
      <x:c r="L37" s="27" t="str"/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0c8234f6f0e4a80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c88180588ac43f3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Production readiness audit</x:v>
      </x:c>
      <x:c r="E13" s="26" t="str">
        <x:v>Open</x:v>
      </x:c>
      <x:c r="F13" s="26" t="str">
        <x:v>Focused abuse tests plus security workflows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7" t="str">
        <x:v>QA-RES-001</x:v>
      </x:c>
      <x:c r="B15" s="27" t="str">
        <x:v>Resilience</x:v>
      </x:c>
      <x:c r="C15" s="27" t="str">
        <x:v>Backup restore and failed cutover</x:v>
      </x:c>
      <x:c r="D15" s="27" t="str">
        <x:v>None</x:v>
      </x:c>
      <x:c r="E15" s="27" t="str">
        <x:v>Not run</x:v>
      </x:c>
      <x:c r="F15" s="27" t="str">
        <x:v>Successful restore and two rollback rehearsals</x:v>
      </x:c>
      <x:c r="G15" s="27" t="str">
        <x:v>QA-002 QA-003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816f0fea41c402b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7" t="str">
        <x:v>RISK-010</x:v>
      </x:c>
      <x:c r="B15" s="27" t="str">
        <x:v>Historical secrets enter the private production history</x:v>
      </x:c>
      <x:c r="C15" s="27" t="str">
        <x:v>Critical</x:v>
      </x:c>
      <x:c r="D15" s="27" t="str">
        <x:v>Possible</x:v>
      </x:c>
      <x:c r="E15" s="27" t="str">
        <x:v>P0</x:v>
      </x:c>
      <x:c r="F15" s="27" t="str">
        <x:v>Clean snapshot history secret scanning and push protection</x:v>
      </x:c>
      <x:c r="G15" s="27" t="str">
        <x:v>Codex</x:v>
      </x:c>
      <x:c r="H15" s="27" t="str">
        <x:v>Mitigated</x:v>
      </x:c>
      <x:c r="I15" s="27" t="str">
        <x:v>Initial scan found no tracked high-confidence signatures</x:v>
      </x:c>
    </x:row>
  </x:sheetData>
  <x:mergeCells>
    <x:mergeCell ref="A3:I3"/>
  </x:mergeCells>
  <x:conditionalFormatting sqref="E6:E15">
    <x:cfRule type="containsText" dxfId="12" priority="1" operator="containsText" text="P0"/>
  </x:conditionalFormatting>
  <x:conditionalFormatting sqref="H6:H15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f96af530502453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Private repository created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Mailbox or SMTP provider and recipient list</x:v>
      </x:c>
      <x:c r="D12" s="26" t="str">
        <x:v>To be confirmed</x:v>
      </x:c>
      <x:c r="E12" s="26" t="str">
        <x:v>SMTP/API identity</x:v>
      </x:c>
      <x:c r="F12" s="26" t="str">
        <x:v>GitHub or Railway secrets</x:v>
      </x:c>
      <x:c r="G12" s="26" t="str">
        <x:v>Mock</x:v>
      </x:c>
      <x:c r="H12" s="29" t="str"/>
      <x:c r="I12" s="26" t="str">
        <x:v>Log provider until approved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7" t="str">
        <x:v>ACC-009</x:v>
      </x:c>
      <x:c r="B14" s="27" t="str">
        <x:v>SMS WhatsApp push identity</x:v>
      </x:c>
      <x:c r="C14" s="27" t="str">
        <x:v>Provider sandbox then production accounts</x:v>
      </x:c>
      <x:c r="D14" s="27" t="str">
        <x:v>To be confirmed</x:v>
      </x:c>
      <x:c r="E14" s="27" t="str">
        <x:v>Provider credentials</x:v>
      </x:c>
      <x:c r="F14" s="27" t="str">
        <x:v>Protected secret store</x:v>
      </x:c>
      <x:c r="G14" s="27" t="str">
        <x:v>Deferred</x:v>
      </x:c>
      <x:c r="H14" s="30" t="str"/>
      <x:c r="I14" s="27" t="str">
        <x:v>Separate onboarding gates</x:v>
      </x:c>
    </x:row>
  </x:sheetData>
  <x:mergeCells>
    <x:mergeCell ref="A3:I3"/>
  </x:mergeCells>
  <x:conditionalFormatting sqref="G6:G14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cf12d60391c4fba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91b73e7e35243d3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7" t="str">
        <x:v>CHG-002</x:v>
      </x:c>
      <x:c r="B7" s="27" t="str">
        <x:v>RohithTadiparti/WOW-MD</x:v>
      </x:c>
      <x:c r="C7" s="27" t="str">
        <x:v>UNCOMMITTED</x:v>
      </x:c>
      <x:c r="D7" s="27" t="str">
        <x:v>.gitignore</x:v>
      </x:c>
      <x:c r="E7" s="27" t="str">
        <x:v>Repository hygiene</x:v>
      </x:c>
      <x:c r="F7" s="27" t="str">
        <x:v>Review required</x:v>
      </x:c>
      <x:c r="G7" s="27" t="str">
        <x:v>SYNC-001</x:v>
      </x:c>
      <x:c r="H7" s="27" t="str"/>
      <x:c r="I7" s="27" t="str"/>
      <x:c r="J7" s="30" t="str">
        <x:v>2026-10-04</x:v>
      </x:c>
      <x:c r="K7" s="27" t="str">
        <x:v>Three ignored paths require review before adoption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a803730cfffb4e8a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32" t="str">
        <x:v>GOV-002</x:v>
      </x:c>
      <x:c r="B6" s="32" t="str"/>
      <x:c r="C6" s="32" t="str">
        <x:v>codex/gov-002-production-program</x:v>
      </x:c>
      <x:c r="D6" s="32" t="str"/>
      <x:c r="E6" s="32" t="str"/>
      <x:c r="F6" s="32" t="str"/>
      <x:c r="G6" s="32" t="str">
        <x:v>Initial repository validation</x:v>
      </x:c>
      <x:c r="H6" s="32" t="str">
        <x:v>Documentation and governance baseline</x:v>
      </x:c>
      <x:c r="I6" s="32" t="str">
        <x:v>Revert initial commit before dependent work</x:v>
      </x:c>
      <x:c r="J6" s="32" t="str">
        <x:v>None</x:v>
      </x:c>
      <x:c r="K6" s="32" t="str">
        <x:v>In Progress</x:v>
      </x:c>
      <x:c r="L6" s="33" t="str">
        <x:v>2026-10-04</x:v>
      </x:c>
    </x:row>
  </x:sheetData>
  <x:mergeCells>
    <x:mergeCell ref="A3:L3"/>
  </x:mergeCells>
  <x:conditionalFormatting sqref="K6:K6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394e67032b749ba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Monthly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7" t="str">
        <x:v>DOC-012</x:v>
      </x:c>
      <x:c r="B17" s="27" t="str">
        <x:v>Production tracking workbook</x:v>
      </x:c>
      <x:c r="C17" s="27" t="str">
        <x:v>docs/tracking/production-readiness-tracker.xlsx</x:v>
      </x:c>
      <x:c r="D17" s="27" t="str">
        <x:v>Program management</x:v>
      </x:c>
      <x:c r="E17" s="27" t="str">
        <x:v>Generated</x:v>
      </x:c>
      <x:c r="F17" s="27" t="str">
        <x:v>Each change</x:v>
      </x:c>
      <x:c r="G17" s="27" t="str">
        <x:v>2026-10-04</x:v>
      </x:c>
      <x:c r="H17" s="27" t="str">
        <x:v>GOV-002</x:v>
      </x:c>
    </x:row>
  </x:sheetData>
  <x:mergeCells>
    <x:mergeCell ref="A3:H3"/>
  </x:mergeCells>
  <x:conditionalFormatting sqref="E6:E17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193333f11ad4b29"/>
  </x:tableParts>
</x:worksheet>
</file>