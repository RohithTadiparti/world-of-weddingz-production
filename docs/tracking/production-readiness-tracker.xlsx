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61454058e043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f608c5e04b94829"/>
    <x:sheet xmlns:r="http://schemas.openxmlformats.org/officeDocument/2006/relationships" name="Open Items" sheetId="2" r:id="R284e0eaa4bcb443b"/>
    <x:sheet xmlns:r="http://schemas.openxmlformats.org/officeDocument/2006/relationships" name="Requirements" sheetId="3" r:id="Rc6a0784062604dad"/>
    <x:sheet xmlns:r="http://schemas.openxmlformats.org/officeDocument/2006/relationships" name="Test Inventory" sheetId="4" r:id="R976d0f8ea2594139"/>
    <x:sheet xmlns:r="http://schemas.openxmlformats.org/officeDocument/2006/relationships" name="Risks" sheetId="5" r:id="Rea4f976100774241"/>
    <x:sheet xmlns:r="http://schemas.openxmlformats.org/officeDocument/2006/relationships" name="Access" sheetId="6" r:id="R1d57c6aa78ad4752"/>
    <x:sheet xmlns:r="http://schemas.openxmlformats.org/officeDocument/2006/relationships" name="Release Gates" sheetId="7" r:id="R6306d8da2c534ae1"/>
    <x:sheet xmlns:r="http://schemas.openxmlformats.org/officeDocument/2006/relationships" name="Change Intake" sheetId="8" r:id="Rb8135e303ba444f6"/>
    <x:sheet xmlns:r="http://schemas.openxmlformats.org/officeDocument/2006/relationships" name="PR Handoffs" sheetId="9" r:id="Red421e8f8e2b4728"/>
    <x:sheet xmlns:r="http://schemas.openxmlformats.org/officeDocument/2006/relationships" name="Documents" sheetId="10" r:id="R2e66538f0c6c48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11a3d21d0c4bba" /><Relationship Type="http://schemas.openxmlformats.org/officeDocument/2006/relationships/theme" Target="/xl/theme/theme1.xml" Id="R06eb99ce810641bc" /><Relationship Type="http://schemas.openxmlformats.org/officeDocument/2006/relationships/sharedStrings" Target="/xl/sharedStrings.xml" Id="R73fb5d9457824683" /><Relationship Type="http://schemas.openxmlformats.org/officeDocument/2006/relationships/worksheet" Target="/xl/worksheets/sheet1.xml" Id="R3f608c5e04b94829" /><Relationship Type="http://schemas.openxmlformats.org/officeDocument/2006/relationships/worksheet" Target="/xl/worksheets/sheet2.xml" Id="R284e0eaa4bcb443b" /><Relationship Type="http://schemas.openxmlformats.org/officeDocument/2006/relationships/worksheet" Target="/xl/worksheets/sheet3.xml" Id="Rc6a0784062604dad" /><Relationship Type="http://schemas.openxmlformats.org/officeDocument/2006/relationships/worksheet" Target="/xl/worksheets/sheet4.xml" Id="R976d0f8ea2594139" /><Relationship Type="http://schemas.openxmlformats.org/officeDocument/2006/relationships/worksheet" Target="/xl/worksheets/sheet5.xml" Id="Rea4f976100774241" /><Relationship Type="http://schemas.openxmlformats.org/officeDocument/2006/relationships/worksheet" Target="/xl/worksheets/sheet6.xml" Id="R1d57c6aa78ad4752" /><Relationship Type="http://schemas.openxmlformats.org/officeDocument/2006/relationships/worksheet" Target="/xl/worksheets/sheet7.xml" Id="R6306d8da2c534ae1" /><Relationship Type="http://schemas.openxmlformats.org/officeDocument/2006/relationships/worksheet" Target="/xl/worksheets/sheet8.xml" Id="Rb8135e303ba444f6" /><Relationship Type="http://schemas.openxmlformats.org/officeDocument/2006/relationships/worksheet" Target="/xl/worksheets/sheet9.xml" Id="Red421e8f8e2b4728" /><Relationship Type="http://schemas.openxmlformats.org/officeDocument/2006/relationships/worksheet" Target="/xl/worksheets/sheet10.xml" Id="R2e66538f0c6c48a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15e356140a41c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15e356140a41c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5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6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4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7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6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17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e89505d7d51455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479ee229f1043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1d57e46fa4e470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a3c068cd8074ba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13fb1987d2e462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d0cc169daec4e0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379a1465cbd4ef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9a42500d84423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4c0f88854094f2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cc2732bd04c43e1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private production repository.</x:v>
      </x:c>
    </x:row>
    <x:row r="5">
      <x:c r="A5" s="34" t="str">
        <x:v>Work items</x:v>
      </x:c>
      <x:c r="B5" s="35" t="str">
        <x:v>Count</x:v>
      </x:c>
      <x:c r="D5" s="34" t="str">
        <x:v>Readiness</x:v>
      </x:c>
      <x:c r="E5" s="35" t="str">
        <x:v>Count</x:v>
      </x:c>
      <x:c r="G5" s="40" t="str">
        <x:v>Status</x:v>
      </x:c>
      <x:c r="H5" s="40" t="str">
        <x:v>Count</x:v>
      </x:c>
    </x:row>
    <x:row r="6">
      <x:c r="A6" s="36" t="str">
        <x:v>Total</x:v>
      </x:c>
      <x:c r="B6" s="37" t="n">
        <x:f>COUNTA('Open Items'!$A$6:$A$37)</x:f>
        <x:v>32</x:v>
      </x:c>
      <x:c r="D6" s="36" t="str">
        <x:v>P0 items not done</x:v>
      </x:c>
      <x:c r="E6" s="37" t="n">
        <x:f>COUNTIFS('Open Items'!$E$6:$E$37,"P0",'Open Items'!$F$6:$F$37,"&lt;&gt;Done")</x:f>
        <x:v>22</x:v>
      </x:c>
      <x:c r="G6" s="40" t="str">
        <x:v>Open</x:v>
      </x:c>
      <x:c r="H6" s="40" t="n">
        <x:f>B7</x:f>
        <x:v>30</x:v>
      </x:c>
    </x:row>
    <x:row r="7">
      <x:c r="A7" s="36" t="str">
        <x:v>Open</x:v>
      </x:c>
      <x:c r="B7" s="37" t="n">
        <x:f>COUNTIF('Open Items'!$F$6:$F$37,"Open")</x:f>
        <x:v>30</x:v>
      </x:c>
      <x:c r="D7" s="36" t="str">
        <x:v>Open release gates</x:v>
      </x:c>
      <x:c r="E7" s="37" t="n">
        <x:f>COUNTIF('Release Gates'!$E$6:$E$17,"Open")</x:f>
        <x:v>11</x:v>
      </x:c>
      <x:c r="G7" s="40" t="str">
        <x:v>In Progress</x:v>
      </x:c>
      <x:c r="H7" s="40" t="n">
        <x:f>B8</x:f>
        <x:v>0</x:v>
      </x:c>
    </x:row>
    <x:row r="8">
      <x:c r="A8" s="36" t="str">
        <x:v>In Progress</x:v>
      </x:c>
      <x:c r="B8" s="37" t="n">
        <x:f>COUNTIF('Open Items'!$F$6:$F$37,"In Progress")</x:f>
        <x:v>0</x:v>
      </x:c>
      <x:c r="D8" s="36" t="str">
        <x:v>Open risks</x:v>
      </x:c>
      <x:c r="E8" s="37" t="n">
        <x:f>COUNTIF(Risks!$H$6:$H$16,"Open")</x:f>
        <x:v>10</x:v>
      </x:c>
      <x:c r="G8" s="40" t="str">
        <x:v>PR Open</x:v>
      </x:c>
      <x:c r="H8" s="40" t="n">
        <x:f>B9</x:f>
        <x:v>1</x:v>
      </x:c>
    </x:row>
    <x:row r="9">
      <x:c r="A9" s="36" t="str">
        <x:v>PR Open</x:v>
      </x:c>
      <x:c r="B9" s="37" t="n">
        <x:f>COUNTIF('Open Items'!$F$6:$F$37,"PR Open")</x:f>
        <x:v>1</x:v>
      </x:c>
      <x:c r="D9" s="36" t="str">
        <x:v>P0 open risks</x:v>
      </x:c>
      <x:c r="E9" s="37" t="n">
        <x:f>COUNTIFS(Risks!$E$6:$E$16,"P0",Risks!$H$6:$H$16,"Open")</x:f>
        <x:v>9</x:v>
      </x:c>
      <x:c r="G9" s="40" t="str">
        <x:v>Blocked</x:v>
      </x:c>
      <x:c r="H9" s="40" t="n">
        <x:f>B10</x:f>
        <x:v>1</x:v>
      </x:c>
    </x:row>
    <x:row r="10">
      <x:c r="A10" s="36" t="str">
        <x:v>Blocked</x:v>
      </x:c>
      <x:c r="B10" s="37" t="n">
        <x:f>COUNTIF('Open Items'!$F$6:$F$37,"Blocked")</x:f>
        <x:v>1</x:v>
      </x:c>
      <x:c r="D10" s="36" t="str">
        <x:v>Approved requirements</x:v>
      </x:c>
      <x:c r="E10" s="37" t="n">
        <x:f>COUNTIF(Requirements!$G$6:$G$23,"Approved")</x:f>
        <x:v>18</x:v>
      </x:c>
      <x:c r="G10" s="40" t="str">
        <x:v>Done</x:v>
      </x:c>
      <x:c r="H10" s="40" t="n">
        <x:f>B11</x:f>
        <x:v>0</x:v>
      </x:c>
    </x:row>
    <x:row r="11">
      <x:c r="A11" s="36" t="str">
        <x:v>Done</x:v>
      </x:c>
      <x:c r="B11" s="37" t="n">
        <x:f>COUNTIF('Open Items'!$F$6:$F$37,"Done")</x:f>
        <x:v>0</x:v>
      </x:c>
      <x:c r="G11" t="str"/>
      <x:c r="H11"/>
    </x:row>
    <x:row r="13">
      <x:c r="A13" s="39" t="str">
        <x:v>Launch gate</x:v>
      </x:c>
      <x:c r="B13" s="39" t="str">
        <x:v>Current state</x:v>
      </x:c>
      <x:c r="C13" s="39" t="str">
        <x:v>Owner</x:v>
      </x:c>
      <x:c r="D13" s="39" t="str">
        <x:v>Evidence needed</x:v>
      </x:c>
      <x:c r="E13" s="39" t="str">
        <x:v>Rule</x:v>
      </x:c>
    </x:row>
    <x:row r="14">
      <x:c r="A14" s="26" t="str">
        <x:v>Repository foundation</x:v>
      </x:c>
      <x:c r="B14" s="26" t="str">
        <x:v>In Progress</x:v>
      </x:c>
      <x:c r="C14" s="26" t="str">
        <x:v>Codex</x:v>
      </x:c>
      <x:c r="D14" s="26" t="str">
        <x:v>Initial commit, issues, protections and green governance CI</x:v>
      </x:c>
      <x:c r="E14" s="26" t="str">
        <x:v>Complete before implementation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0e89505d7d514550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Open</x:v>
      </x:c>
      <x:c r="G6" s="25" t="str">
        <x:v>Unassigned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/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Open</x:v>
      </x:c>
      <x:c r="G32" s="26" t="str">
        <x:v>Unassigned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/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Blocked</x:v>
      </x:c>
      <x:c r="G36" s="26" t="str">
        <x:v>Product owner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/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PR Open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479ee229f1043f3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1d57e46fa4e4704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Production readiness audit</x:v>
      </x:c>
      <x:c r="E13" s="26" t="str">
        <x:v>Open</x:v>
      </x:c>
      <x:c r="F13" s="26" t="str">
        <x:v>Focused abuse tests plus security workflows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7" t="str">
        <x:v>QA-RES-001</x:v>
      </x:c>
      <x:c r="B15" s="27" t="str">
        <x:v>Resilience</x:v>
      </x:c>
      <x:c r="C15" s="27" t="str">
        <x:v>Backup restore and failed cutover</x:v>
      </x:c>
      <x:c r="D15" s="27" t="str">
        <x:v>None</x:v>
      </x:c>
      <x:c r="E15" s="27" t="str">
        <x:v>Not run</x:v>
      </x:c>
      <x:c r="F15" s="27" t="str">
        <x:v>Successful restore and two rollback rehearsals</x:v>
      </x:c>
      <x:c r="G15" s="27" t="str">
        <x:v>QA-002 QA-003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6a3c068cd8074ba2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7" t="str">
        <x:v>RISK-011</x:v>
      </x:c>
      <x:c r="B16" s="27" t="str">
        <x:v>Private repository cannot enforce native branch protection or secret scanning on the current GitHub plan</x:v>
      </x:c>
      <x:c r="C16" s="27" t="str">
        <x:v>High</x:v>
      </x:c>
      <x:c r="D16" s="27" t="str">
        <x:v>Certain</x:v>
      </x:c>
      <x:c r="E16" s="27" t="str">
        <x:v>P0</x:v>
      </x:c>
      <x:c r="F16" s="27" t="str">
        <x:v>Use PR discipline and CI Gitleaks as compensating controls; upgrade to GitHub Pro or an eligible organization before production</x:v>
      </x:c>
      <x:c r="G16" s="27" t="str">
        <x:v>Product owner</x:v>
      </x:c>
      <x:c r="H16" s="27" t="str">
        <x:v>Open</x:v>
      </x:c>
      <x:c r="I16" s="27" t="str">
        <x:v>GitHub API returned HTTP 403 and 422 on 2026-10-04</x:v>
      </x:c>
    </x:row>
  </x:sheetData>
  <x:mergeCells>
    <x:mergeCell ref="A3:I3"/>
  </x:mergeCells>
  <x:conditionalFormatting sqref="E6:E16">
    <x:cfRule type="containsText" dxfId="12" priority="1" operator="containsText" text="P0"/>
  </x:conditionalFormatting>
  <x:conditionalFormatting sqref="H6:H16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13fb1987d2e462e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Private repository created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Mailbox or SMTP provider and recipient list</x:v>
      </x:c>
      <x:c r="D12" s="26" t="str">
        <x:v>To be confirmed</x:v>
      </x:c>
      <x:c r="E12" s="26" t="str">
        <x:v>SMTP/API identity</x:v>
      </x:c>
      <x:c r="F12" s="26" t="str">
        <x:v>GitHub or Railway secrets</x:v>
      </x:c>
      <x:c r="G12" s="26" t="str">
        <x:v>Mock</x:v>
      </x:c>
      <x:c r="H12" s="29" t="str"/>
      <x:c r="I12" s="26" t="str">
        <x:v>Log provider until approved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7" t="str">
        <x:v>ACC-009</x:v>
      </x:c>
      <x:c r="B14" s="27" t="str">
        <x:v>SMS WhatsApp push identity</x:v>
      </x:c>
      <x:c r="C14" s="27" t="str">
        <x:v>Provider sandbox then production accounts</x:v>
      </x:c>
      <x:c r="D14" s="27" t="str">
        <x:v>To be confirmed</x:v>
      </x:c>
      <x:c r="E14" s="27" t="str">
        <x:v>Provider credentials</x:v>
      </x:c>
      <x:c r="F14" s="27" t="str">
        <x:v>Protected secret store</x:v>
      </x:c>
      <x:c r="G14" s="27" t="str">
        <x:v>Deferred</x:v>
      </x:c>
      <x:c r="H14" s="30" t="str"/>
      <x:c r="I14" s="27" t="str">
        <x:v>Separate onboarding gates</x:v>
      </x:c>
    </x:row>
  </x:sheetData>
  <x:mergeCells>
    <x:mergeCell ref="A3:I3"/>
  </x:mergeCells>
  <x:conditionalFormatting sqref="G6:G14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d0cc169daec4e07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379a1465cbd4ef5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7" t="str">
        <x:v>CHG-002</x:v>
      </x:c>
      <x:c r="B7" s="27" t="str">
        <x:v>RohithTadiparti/WOW-MD</x:v>
      </x:c>
      <x:c r="C7" s="27" t="str">
        <x:v>UNCOMMITTED</x:v>
      </x:c>
      <x:c r="D7" s="27" t="str">
        <x:v>.gitignore</x:v>
      </x:c>
      <x:c r="E7" s="27" t="str">
        <x:v>Repository hygiene</x:v>
      </x:c>
      <x:c r="F7" s="27" t="str">
        <x:v>Review required</x:v>
      </x:c>
      <x:c r="G7" s="27" t="str">
        <x:v>SYNC-001</x:v>
      </x:c>
      <x:c r="H7" s="27" t="str"/>
      <x:c r="I7" s="27" t="str"/>
      <x:c r="J7" s="30" t="str">
        <x:v>2026-10-04</x:v>
      </x:c>
      <x:c r="K7" s="27" t="str">
        <x:v>Three ignored paths require review before adoption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bc9a42500d84423b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32" t="str">
        <x:v>GOV-002</x:v>
      </x:c>
      <x:c r="B6" s="32" t="str">
        <x:v>https://github.com/RohithTadiparti/world-of-weddingz-production/pull/49</x:v>
      </x:c>
      <x:c r="C6" s="32" t="str">
        <x:v>codex/gov-002-production-program</x:v>
      </x:c>
      <x:c r="D6" s="32" t="str">
        <x:v>1e9f458</x:v>
      </x:c>
      <x:c r="E6" s="32" t="str">
        <x:v>10455fa</x:v>
      </x:c>
      <x:c r="F6" s="32" t="str">
        <x:v>07218b4ab02a8702a4d8d9fdab7dc26e579ab7b4</x:v>
      </x:c>
      <x:c r="G6" s="32" t="str">
        <x:v>Register/workflow tests 4/4; backend/frontend/mobile CI passed on 7c31fbf; Gitleaks passed after permission fix; credential scan clear; workbook formulas clear and 10 sheets visually reviewed</x:v>
      </x:c>
      <x:c r="H6" s="32" t="str">
        <x:v>Documentation and governance only; no Railway deployment</x:v>
      </x:c>
      <x:c r="I6" s="32" t="str">
        <x:v>Revert PR 49; bootstrap remains clean source snapshot</x:v>
      </x:c>
      <x:c r="J6" s="32" t="str">
        <x:v>GitHub plan blocks protected private branches native secret scanning and native CodeQL upload; offline SARIF and CI Gitleaks compensate; tracked by GOV-001</x:v>
      </x:c>
      <x:c r="K6" s="32" t="str">
        <x:v>PR Open</x:v>
      </x:c>
      <x:c r="L6" s="33" t="str">
        <x:v>2026-10-04</x:v>
      </x:c>
    </x:row>
  </x:sheetData>
  <x:mergeCells>
    <x:mergeCell ref="A3:L3"/>
  </x:mergeCells>
  <x:conditionalFormatting sqref="K6:K6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4c0f88854094f2b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Monthly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7" t="str">
        <x:v>DOC-012</x:v>
      </x:c>
      <x:c r="B17" s="27" t="str">
        <x:v>Production tracking workbook</x:v>
      </x:c>
      <x:c r="C17" s="27" t="str">
        <x:v>docs/tracking/production-readiness-tracker.xlsx</x:v>
      </x:c>
      <x:c r="D17" s="27" t="str">
        <x:v>Program management</x:v>
      </x:c>
      <x:c r="E17" s="27" t="str">
        <x:v>Generated</x:v>
      </x:c>
      <x:c r="F17" s="27" t="str">
        <x:v>Each change</x:v>
      </x:c>
      <x:c r="G17" s="27" t="str">
        <x:v>2026-10-04</x:v>
      </x:c>
      <x:c r="H17" s="27" t="str">
        <x:v>GOV-002</x:v>
      </x:c>
    </x:row>
  </x:sheetData>
  <x:mergeCells>
    <x:mergeCell ref="A3:H3"/>
  </x:mergeCells>
  <x:conditionalFormatting sqref="E6:E17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cc2732bd04c43e1"/>
  </x:tableParts>
</x:worksheet>
</file>