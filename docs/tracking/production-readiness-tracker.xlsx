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57163caf6149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82fc0183a11442b"/>
    <x:sheet xmlns:r="http://schemas.openxmlformats.org/officeDocument/2006/relationships" name="Open Items" sheetId="2" r:id="R6fa20bf17f3a45af"/>
    <x:sheet xmlns:r="http://schemas.openxmlformats.org/officeDocument/2006/relationships" name="Requirements" sheetId="3" r:id="R4a49a0f0e6e04497"/>
    <x:sheet xmlns:r="http://schemas.openxmlformats.org/officeDocument/2006/relationships" name="Test Inventory" sheetId="4" r:id="Rd7653db751404ec9"/>
    <x:sheet xmlns:r="http://schemas.openxmlformats.org/officeDocument/2006/relationships" name="Risks" sheetId="5" r:id="R88508ddfc8394578"/>
    <x:sheet xmlns:r="http://schemas.openxmlformats.org/officeDocument/2006/relationships" name="Access" sheetId="6" r:id="R160115c5e8ae4b89"/>
    <x:sheet xmlns:r="http://schemas.openxmlformats.org/officeDocument/2006/relationships" name="Release Gates" sheetId="7" r:id="Rd82b27fc55604d43"/>
    <x:sheet xmlns:r="http://schemas.openxmlformats.org/officeDocument/2006/relationships" name="Change Intake" sheetId="8" r:id="R72cc06c0ec304ea6"/>
    <x:sheet xmlns:r="http://schemas.openxmlformats.org/officeDocument/2006/relationships" name="PR Handoffs" sheetId="9" r:id="R23350c76e9fd4e1e"/>
    <x:sheet xmlns:r="http://schemas.openxmlformats.org/officeDocument/2006/relationships" name="Documents" sheetId="10" r:id="R8579165ef61c4e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04ce685e442e2" /><Relationship Type="http://schemas.openxmlformats.org/officeDocument/2006/relationships/theme" Target="/xl/theme/theme1.xml" Id="R96e9c56f453e4705" /><Relationship Type="http://schemas.openxmlformats.org/officeDocument/2006/relationships/sharedStrings" Target="/xl/sharedStrings.xml" Id="Rbd489a2dade341db" /><Relationship Type="http://schemas.openxmlformats.org/officeDocument/2006/relationships/worksheet" Target="/xl/worksheets/sheet1.xml" Id="Ra82fc0183a11442b" /><Relationship Type="http://schemas.openxmlformats.org/officeDocument/2006/relationships/worksheet" Target="/xl/worksheets/sheet2.xml" Id="R6fa20bf17f3a45af" /><Relationship Type="http://schemas.openxmlformats.org/officeDocument/2006/relationships/worksheet" Target="/xl/worksheets/sheet3.xml" Id="R4a49a0f0e6e04497" /><Relationship Type="http://schemas.openxmlformats.org/officeDocument/2006/relationships/worksheet" Target="/xl/worksheets/sheet4.xml" Id="Rd7653db751404ec9" /><Relationship Type="http://schemas.openxmlformats.org/officeDocument/2006/relationships/worksheet" Target="/xl/worksheets/sheet5.xml" Id="R88508ddfc8394578" /><Relationship Type="http://schemas.openxmlformats.org/officeDocument/2006/relationships/worksheet" Target="/xl/worksheets/sheet6.xml" Id="R160115c5e8ae4b89" /><Relationship Type="http://schemas.openxmlformats.org/officeDocument/2006/relationships/worksheet" Target="/xl/worksheets/sheet7.xml" Id="Rd82b27fc55604d43" /><Relationship Type="http://schemas.openxmlformats.org/officeDocument/2006/relationships/worksheet" Target="/xl/worksheets/sheet8.xml" Id="R72cc06c0ec304ea6" /><Relationship Type="http://schemas.openxmlformats.org/officeDocument/2006/relationships/worksheet" Target="/xl/worksheets/sheet9.xml" Id="R23350c76e9fd4e1e" /><Relationship Type="http://schemas.openxmlformats.org/officeDocument/2006/relationships/worksheet" Target="/xl/worksheets/sheet10.xml" Id="R8579165ef61c4e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762c3c77f04b0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762c3c77f04b0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7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7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3679649290d49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5be5c9f0fc4d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a4bd8205444c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1a9cf5f621453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0774e2ae4840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137fc2d18e49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e1922bddb2b42e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791021829b644c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e9ec4b2cb7348a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a5761488a154d3d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30</x:v>
      </x:c>
    </x:row>
    <x:row r="7">
      <x:c r="A7" s="33" t="str">
        <x:v>Open</x:v>
      </x:c>
      <x:c r="B7" s="34" t="n">
        <x:f>COUNTIF('Open Items'!$F$6:$F$37,"Open")</x:f>
        <x:v>30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COUNTIF(Risks!$H$6:$H$17,"Open")</x:f>
        <x:v>9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Items'!$F$6:$F$37,"PR Open")</x:f>
        <x:v>0</x:v>
      </x:c>
      <x:c r="D9" s="33" t="str">
        <x:v>P0 open risks</x:v>
      </x:c>
      <x:c r="E9" s="34" t="n">
        <x:f>COUNTIFS(Risks!$E$6:$E$17,"P0",Risks!$H$6:$H$17,"Open")</x:f>
        <x:v>8</x:v>
      </x:c>
      <x:c r="G9" s="39" t="str">
        <x:v>Blocked</x:v>
      </x:c>
      <x:c r="H9" s="39" t="n">
        <x:f>B10</x:f>
        <x:v>0</x:v>
      </x:c>
    </x:row>
    <x:row r="10">
      <x:c r="A10" s="33" t="str">
        <x:v>Blocked</x:v>
      </x:c>
      <x:c r="B10" s="34" t="n">
        <x:f>COUNTIF('Open Items'!$F$6:$F$37,"Blocked")</x:f>
        <x:v>0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63679649290d49ab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e5be5c9f0fc4dcf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0a4bd8205444c42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bc1a9cf5f6214532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7" t="str">
        <x:v>RISK-012</x:v>
      </x:c>
      <x:c r="B17" s="27" t="str">
        <x:v>Public source exposes architecture test conventions and historical development-only credentials</x:v>
      </x:c>
      <x:c r="C17" s="27" t="str">
        <x:v>High</x:v>
      </x:c>
      <x:c r="D17" s="27" t="str">
        <x:v>Possible</x:v>
      </x:c>
      <x:c r="E17" s="27" t="str">
        <x:v>P0</x:v>
      </x:c>
      <x:c r="F17" s="27" t="str">
        <x:v>Remove fallback credentials; keep real secrets and PII outside Git; require push protection Gitleaks and native scanning</x:v>
      </x:c>
      <x:c r="G17" s="27" t="str">
        <x:v>Security</x:v>
      </x:c>
      <x:c r="H17" s="27" t="str">
        <x:v>Mitigated</x:v>
      </x:c>
      <x:c r="I17" s="27" t="str">
        <x:v>Tracked history scanned; seed fallback removed in GOV-001; test and production credentials require external stores</x:v>
      </x:c>
    </x:row>
  </x:sheetData>
  <x:mergeCells>
    <x:mergeCell ref="A3:I3"/>
  </x:mergeCells>
  <x:conditionalFormatting sqref="E6:E17">
    <x:cfRule type="containsText" dxfId="12" priority="1" operator="containsText" text="P0"/>
  </x:conditionalFormatting>
  <x:conditionalFormatting sqref="H6:H17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70774e2ae48408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9137fc2d18e49b0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e1922bddb2b42eb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6791021829b644cc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7" t="str">
        <x:v>GOV-001</x:v>
      </x:c>
      <x:c r="B7" s="27" t="str">
        <x:v>https://github.com/RohithTadiparti/world-of-weddingz-production/pull/54</x:v>
      </x:c>
      <x:c r="C7" s="27" t="str">
        <x:v>codex/gov-001-public-protection</x:v>
      </x:c>
      <x:c r="D7" s="27" t="str">
        <x:v>922cfee</x:v>
      </x:c>
      <x:c r="E7" s="27" t="str">
        <x:v>152f4d3</x:v>
      </x:c>
      <x:c r="F7" s="27" t="str"/>
      <x:c r="G7" s="27" t="str">
        <x:v>Final PR head 152f4d3: backend E2E and tests pass; frontend pass; mobile pass; Docker pass; registers pass; Gitleaks pass; native CodeQL JavaScript/TypeScript and Actions pass; seed config 3/3; governance 7/7</x:v>
      </x:c>
      <x:c r="H7" s="27" t="str">
        <x:v>GitHub visibility and protection settings plus repository security configuration; no application deploy</x:v>
      </x:c>
      <x:c r="I7" s="27" t="str">
        <x:v>Change visibility/settings separately and revert PR; never restore fallback credential</x:v>
      </x:c>
      <x:c r="J7" s="27" t="str">
        <x:v>Public source and historical development credential; 83 dependency alerts</x:v>
      </x:c>
      <x:c r="K7" s="27" t="str">
        <x:v>Ready to Merge</x:v>
      </x:c>
      <x:c r="L7" s="30" t="str">
        <x:v>2026-10-04</x:v>
      </x:c>
    </x:row>
  </x:sheetData>
  <x:mergeCells>
    <x:mergeCell ref="A3:L3"/>
  </x:mergeCells>
  <x:conditionalFormatting sqref="K6:K7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e9ec4b2cb7348ab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a5761488a154d3d"/>
  </x:tableParts>
</x:worksheet>
</file>